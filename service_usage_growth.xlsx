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ervice Growth" sheetId="2" state="visible" r:id="rId4"/>
    <sheet name="Channel-Service Growt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Growth % = (26-Jul count - 20-Jul count) / 20-Jul count. Blank = no activity on 20-Jul (growth undefined). Note: 20-Jul is a Monday and 26-Jul a Sunday, so weekday/weekend traffic patterns affect the rate. Service names are matched case-sensitively (kycScoreEngineForOrg and KYCScoreEngineForOrg are distinct). Source: query_log_channel_union_all_1.xlsx (sheet CustomQuery), uploaded by user.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Growth % = (26-Jul count - 20-Jul count) / 20-Jul count. Blank = no activity on 20-Jul (growth undefined). Note: 20-Jul is a Monday and 26-Jul a Sunday, so weekday/weekend traffic patterns affect the rate. Service names are matched case-sensitively (kycScoreEngineForOrg and KYCScoreEngineForOrg are distinct). Source: query_log_channel_union_all_1.xlsx (sheet CustomQuery), uploaded by user.</t>
        </r>
      </text>
    </comment>
  </commentList>
</comments>
</file>

<file path=xl/sharedStrings.xml><?xml version="1.0" encoding="utf-8"?>
<sst xmlns="http://schemas.openxmlformats.org/spreadsheetml/2006/main" count="2188" uniqueCount="128">
  <si>
    <t xml:space="preserve">update_date</t>
  </si>
  <si>
    <t xml:space="preserve">resquest_system</t>
  </si>
  <si>
    <t xml:space="preserve">service_oper</t>
  </si>
  <si>
    <t xml:space="preserve">count</t>
  </si>
  <si>
    <t xml:space="preserve">AML</t>
  </si>
  <si>
    <t xml:space="preserve">FuzzySearchAllListInfoPlusMA</t>
  </si>
  <si>
    <t xml:space="preserve">GetAllCodeTablePlusMA</t>
  </si>
  <si>
    <t xml:space="preserve">GetListSubTypePlusMA</t>
  </si>
  <si>
    <t xml:space="preserve">SearchAllListInfoPlusMA</t>
  </si>
  <si>
    <t xml:space="preserve">UploadNetbay</t>
  </si>
  <si>
    <t xml:space="preserve">AMSC_POPAC</t>
  </si>
  <si>
    <t xml:space="preserve">RegulatoryVerificationPlusMA</t>
  </si>
  <si>
    <t xml:space="preserve">BASE24WS_CHKAML</t>
  </si>
  <si>
    <t xml:space="preserve">SearchAMLListInfoByCid</t>
  </si>
  <si>
    <t xml:space="preserve">AuthService</t>
  </si>
  <si>
    <t xml:space="preserve">BCL</t>
  </si>
  <si>
    <t xml:space="preserve">SearchAllListInfo</t>
  </si>
  <si>
    <t xml:space="preserve">BCM</t>
  </si>
  <si>
    <t xml:space="preserve">BIZNEXT_EM</t>
  </si>
  <si>
    <t xml:space="preserve">BZ</t>
  </si>
  <si>
    <t xml:space="preserve">AddPartyFATCAInfo</t>
  </si>
  <si>
    <t xml:space="preserve">GetPartyFATCAInfo</t>
  </si>
  <si>
    <t xml:space="preserve">UpdatePartyFATCAInfo</t>
  </si>
  <si>
    <t xml:space="preserve">kycScoreEngineForOrg</t>
  </si>
  <si>
    <t xml:space="preserve">MaintainParentCompanyInfo</t>
  </si>
  <si>
    <t xml:space="preserve">BZ_BZ</t>
  </si>
  <si>
    <t xml:space="preserve">GetCRSOrgInfo</t>
  </si>
  <si>
    <t xml:space="preserve">BZ_SOB</t>
  </si>
  <si>
    <t xml:space="preserve">MaintainCRSOrgInfo</t>
  </si>
  <si>
    <t xml:space="preserve">CAP-M</t>
  </si>
  <si>
    <t xml:space="preserve">CASHMAN_SMARTYIELD</t>
  </si>
  <si>
    <t xml:space="preserve">CBS</t>
  </si>
  <si>
    <t xml:space="preserve">AddMaintainPartyExtension</t>
  </si>
  <si>
    <t xml:space="preserve">MaintainPartyExtension</t>
  </si>
  <si>
    <t xml:space="preserve">UpdateMaintainPartyExtension</t>
  </si>
  <si>
    <t xml:space="preserve">KYCScoreEngineForOrg</t>
  </si>
  <si>
    <t xml:space="preserve">CBS_PDTeller</t>
  </si>
  <si>
    <t xml:space="preserve">GetCRSCountryInfo</t>
  </si>
  <si>
    <t xml:space="preserve">GetCRSPersonInfo</t>
  </si>
  <si>
    <t xml:space="preserve">MaintainCRSPersonInfo</t>
  </si>
  <si>
    <t xml:space="preserve">RegulatoryVerification</t>
  </si>
  <si>
    <t xml:space="preserve">CBS_WebCSR</t>
  </si>
  <si>
    <t xml:space="preserve">MaintainEDDInfo</t>
  </si>
  <si>
    <t xml:space="preserve">CLCT</t>
  </si>
  <si>
    <t xml:space="preserve">CLOS-BC</t>
  </si>
  <si>
    <t xml:space="preserve">CMK_CUSTODIAN</t>
  </si>
  <si>
    <t xml:space="preserve">CMLOS</t>
  </si>
  <si>
    <t xml:space="preserve">CRC-M</t>
  </si>
  <si>
    <t xml:space="preserve">DIPGO_OPENACC</t>
  </si>
  <si>
    <t xml:space="preserve">DL-PD_CHKCOM</t>
  </si>
  <si>
    <t xml:space="preserve">DL-PD_LAI</t>
  </si>
  <si>
    <t xml:space="preserve">eKYC</t>
  </si>
  <si>
    <t xml:space="preserve">eKYC_NDID-ENROLLMENT</t>
  </si>
  <si>
    <t xml:space="preserve">eKYC_N_ESAV</t>
  </si>
  <si>
    <t xml:space="preserve">eKYC_N_ETB</t>
  </si>
  <si>
    <t xml:space="preserve">eKYC_NEXT_DIGITAL_LENDING</t>
  </si>
  <si>
    <t xml:space="preserve">eKYC_N_MF</t>
  </si>
  <si>
    <t xml:space="preserve">eKYC_N_MNC</t>
  </si>
  <si>
    <t xml:space="preserve">eKYC_N_ZEROTAX</t>
  </si>
  <si>
    <t xml:space="preserve">eKYC_PPLUS</t>
  </si>
  <si>
    <t xml:space="preserve">eKYC_PT_ESAV</t>
  </si>
  <si>
    <t xml:space="preserve">eKYC_PT_GCASA</t>
  </si>
  <si>
    <t xml:space="preserve">eKYC_PT_PAOTANG</t>
  </si>
  <si>
    <t xml:space="preserve">eKYC_SP-FIXED-IAL</t>
  </si>
  <si>
    <t xml:space="preserve">ELG_ECC</t>
  </si>
  <si>
    <t xml:space="preserve">ELG_ELG</t>
  </si>
  <si>
    <t xml:space="preserve">EPLG_EPLG</t>
  </si>
  <si>
    <t xml:space="preserve">ESO</t>
  </si>
  <si>
    <t xml:space="preserve">ESO_INS</t>
  </si>
  <si>
    <t xml:space="preserve">ESO_OPAC</t>
  </si>
  <si>
    <t xml:space="preserve">ModuleAMLKYC</t>
  </si>
  <si>
    <t xml:space="preserve">ESO_OPACC</t>
  </si>
  <si>
    <t xml:space="preserve">FB_FB</t>
  </si>
  <si>
    <t xml:space="preserve">FITS_FITS</t>
  </si>
  <si>
    <t xml:space="preserve">HRLOS</t>
  </si>
  <si>
    <t xml:space="preserve">KBIZ_MATYPE</t>
  </si>
  <si>
    <t xml:space="preserve">KCORP_MATYPE</t>
  </si>
  <si>
    <t xml:space="preserve">KYC</t>
  </si>
  <si>
    <t xml:space="preserve">ParentCompanyInfo</t>
  </si>
  <si>
    <t xml:space="preserve">KYCCDD_RECAL</t>
  </si>
  <si>
    <t xml:space="preserve">KYC_RECAL</t>
  </si>
  <si>
    <t xml:space="preserve">LCT_LCT</t>
  </si>
  <si>
    <t xml:space="preserve">LG-ECC</t>
  </si>
  <si>
    <t xml:space="preserve">LG-ELG</t>
  </si>
  <si>
    <t xml:space="preserve">LSMS_CUSTDTL</t>
  </si>
  <si>
    <t xml:space="preserve">MDMUI</t>
  </si>
  <si>
    <t xml:space="preserve">findSuspectByPk</t>
  </si>
  <si>
    <t xml:space="preserve">getCustomerSuspects</t>
  </si>
  <si>
    <t xml:space="preserve">login</t>
  </si>
  <si>
    <t xml:space="preserve">logout</t>
  </si>
  <si>
    <t xml:space="preserve">refresh</t>
  </si>
  <si>
    <t xml:space="preserve">searchSuspect</t>
  </si>
  <si>
    <t xml:space="preserve">NPA_NPA</t>
  </si>
  <si>
    <t xml:space="preserve">NRT_AUTO</t>
  </si>
  <si>
    <t xml:space="preserve">OAF_DISB</t>
  </si>
  <si>
    <t xml:space="preserve">SAFEBOX_RENTSB</t>
  </si>
  <si>
    <t xml:space="preserve">SAG1_RETAIL</t>
  </si>
  <si>
    <t xml:space="preserve">SUSP</t>
  </si>
  <si>
    <t xml:space="preserve">AddListDetail</t>
  </si>
  <si>
    <t xml:space="preserve">GetAllCodeTable</t>
  </si>
  <si>
    <t xml:space="preserve">GetCodeTableByCondition</t>
  </si>
  <si>
    <t xml:space="preserve">SearchPatialListInfo</t>
  </si>
  <si>
    <t xml:space="preserve">SearchSuspectListInfo</t>
  </si>
  <si>
    <t xml:space="preserve">TAS-M</t>
  </si>
  <si>
    <t xml:space="preserve">TDRCRT</t>
  </si>
  <si>
    <t xml:space="preserve">TFS_TFS</t>
  </si>
  <si>
    <t xml:space="preserve">TOP</t>
  </si>
  <si>
    <t xml:space="preserve">XB_Cross-Border</t>
  </si>
  <si>
    <t xml:space="preserve">getCustomerDetail</t>
  </si>
  <si>
    <t xml:space="preserve">searchParty</t>
  </si>
  <si>
    <t xml:space="preserve">GetListDetail</t>
  </si>
  <si>
    <t xml:space="preserve">InactiveListDetail</t>
  </si>
  <si>
    <t xml:space="preserve">AMSC</t>
  </si>
  <si>
    <t xml:space="preserve">GMX_GMX-AML</t>
  </si>
  <si>
    <t xml:space="preserve">REG_CUSTODIAN</t>
  </si>
  <si>
    <t xml:space="preserve">ELG_ELG1BB</t>
  </si>
  <si>
    <t xml:space="preserve">Service</t>
  </si>
  <si>
    <t xml:space="preserve">20-Jul</t>
  </si>
  <si>
    <t xml:space="preserve">21-Jul</t>
  </si>
  <si>
    <t xml:space="preserve">22-Jul</t>
  </si>
  <si>
    <t xml:space="preserve">23-Jul</t>
  </si>
  <si>
    <t xml:space="preserve">24-Jul</t>
  </si>
  <si>
    <t xml:space="preserve">25-Jul</t>
  </si>
  <si>
    <t xml:space="preserve">26-Jul</t>
  </si>
  <si>
    <t xml:space="preserve">Total</t>
  </si>
  <si>
    <t xml:space="preserve">Growth %</t>
  </si>
  <si>
    <t xml:space="preserve">Growth % = (26-Jul count - 20-Jul count) / 20-Jul count. Blank = no activity on 20-Jul (growth undefined). Note: 20-Jul is a Monday and 26-Jul a Sunday, so weekday/weekend traffic patterns affect the rate. Service names are matched case-sensitively (kycScoreEngineForOrg and KYCScoreEngineForOrg are distinct). Source: query_log_channel_union_all_1.xlsx (sheet CustomQuery), uploaded by user.</t>
  </si>
  <si>
    <t xml:space="preserve">Channel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</si>
</sst>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Service Usage Growth Rate by Service (20-Jul to 26-Jul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'Service Growth'!J1</c:f>
              <c:strCache>
                <c:ptCount val="1"/>
                <c:pt idx="0">
                  <c:v>Growth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'Service Growth'!$A$2:$A$43</c:f>
              <c:strCache>
                <c:ptCount val="42"/>
                <c:pt idx="0">
                  <c:v>UploadNetbay</c:v>
                </c:pt>
                <c:pt idx="1">
                  <c:v>SearchAMLListInfoByCid</c:v>
                </c:pt>
                <c:pt idx="2">
                  <c:v>UpdatePartyFATCAInfo</c:v>
                </c:pt>
                <c:pt idx="3">
                  <c:v>RegulatoryVerification</c:v>
                </c:pt>
                <c:pt idx="4">
                  <c:v>MaintainCRSPersonInfo</c:v>
                </c:pt>
                <c:pt idx="5">
                  <c:v>AddPartyFATCAInfo</c:v>
                </c:pt>
                <c:pt idx="6">
                  <c:v>GetCRSPersonInfo</c:v>
                </c:pt>
                <c:pt idx="7">
                  <c:v>SearchAllListInfo</c:v>
                </c:pt>
                <c:pt idx="8">
                  <c:v>UpdateMaintainPartyExtension</c:v>
                </c:pt>
                <c:pt idx="9">
                  <c:v>MaintainPartyExtension</c:v>
                </c:pt>
                <c:pt idx="10">
                  <c:v>AddMaintainPartyExtension</c:v>
                </c:pt>
                <c:pt idx="11">
                  <c:v>AuthService</c:v>
                </c:pt>
                <c:pt idx="12">
                  <c:v>RegulatoryVerificationPlusMA</c:v>
                </c:pt>
                <c:pt idx="13">
                  <c:v>GetCRSCountryInfo</c:v>
                </c:pt>
                <c:pt idx="14">
                  <c:v>SearchAllListInfoPlusMA</c:v>
                </c:pt>
                <c:pt idx="15">
                  <c:v>MaintainEDDInfo</c:v>
                </c:pt>
                <c:pt idx="16">
                  <c:v>MaintainParentCompanyInfo</c:v>
                </c:pt>
                <c:pt idx="17">
                  <c:v>GetPartyFATCAInfo</c:v>
                </c:pt>
                <c:pt idx="18">
                  <c:v>ParentCompanyInfo</c:v>
                </c:pt>
                <c:pt idx="19">
                  <c:v>kycScoreEngineForOrg</c:v>
                </c:pt>
                <c:pt idx="20">
                  <c:v>MaintainCRSOrgInfo</c:v>
                </c:pt>
                <c:pt idx="21">
                  <c:v>KYCScoreEngineForOrg</c:v>
                </c:pt>
                <c:pt idx="22">
                  <c:v>GetCRSOrgInfo</c:v>
                </c:pt>
                <c:pt idx="23">
                  <c:v>getCustomerSuspects</c:v>
                </c:pt>
                <c:pt idx="24">
                  <c:v>login</c:v>
                </c:pt>
                <c:pt idx="25">
                  <c:v>logout</c:v>
                </c:pt>
                <c:pt idx="26">
                  <c:v>findSuspectByPk</c:v>
                </c:pt>
                <c:pt idx="27">
                  <c:v>refresh</c:v>
                </c:pt>
                <c:pt idx="28">
                  <c:v>AddListDetail</c:v>
                </c:pt>
                <c:pt idx="29">
                  <c:v>ModuleAMLKYC</c:v>
                </c:pt>
                <c:pt idx="30">
                  <c:v>SearchSuspectListInfo</c:v>
                </c:pt>
                <c:pt idx="31">
                  <c:v>SearchPatialListInfo</c:v>
                </c:pt>
                <c:pt idx="32">
                  <c:v>GetListSubTypePlusMA</c:v>
                </c:pt>
                <c:pt idx="33">
                  <c:v>GetCodeTableByCondition</c:v>
                </c:pt>
                <c:pt idx="34">
                  <c:v>GetAllCodeTablePlusMA</c:v>
                </c:pt>
                <c:pt idx="35">
                  <c:v>GetAllCodeTable</c:v>
                </c:pt>
                <c:pt idx="36">
                  <c:v>FuzzySearchAllListInfoPlusMA</c:v>
                </c:pt>
                <c:pt idx="37">
                  <c:v>searchSuspect</c:v>
                </c:pt>
                <c:pt idx="38">
                  <c:v>GetListDetail</c:v>
                </c:pt>
                <c:pt idx="39">
                  <c:v>InactiveListDetail</c:v>
                </c:pt>
                <c:pt idx="40">
                  <c:v>getCustomerDetail</c:v>
                </c:pt>
                <c:pt idx="41">
                  <c:v>searchParty</c:v>
                </c:pt>
              </c:strCache>
            </c:strRef>
          </c:cat>
          <c:val>
            <c:numRef>
              <c:f>'Service Growth'!$J$2:$J$43</c:f>
              <c:numCache>
                <c:formatCode>0.0%</c:formatCode>
                <c:ptCount val="42"/>
                <c:pt idx="0">
                  <c:v>-0.181818181818182</c:v>
                </c:pt>
                <c:pt idx="1">
                  <c:v>-0.202490824490548</c:v>
                </c:pt>
                <c:pt idx="2">
                  <c:v>-0.2603125</c:v>
                </c:pt>
                <c:pt idx="3">
                  <c:v>-0.30642783026596</c:v>
                </c:pt>
                <c:pt idx="4">
                  <c:v>-0.475993977583227</c:v>
                </c:pt>
                <c:pt idx="5">
                  <c:v>-0.478956579714976</c:v>
                </c:pt>
                <c:pt idx="6">
                  <c:v>-0.57048618174421</c:v>
                </c:pt>
                <c:pt idx="7">
                  <c:v>-0.570661896243292</c:v>
                </c:pt>
                <c:pt idx="8">
                  <c:v>-0.625079997155657</c:v>
                </c:pt>
                <c:pt idx="9">
                  <c:v>-0.625477745342923</c:v>
                </c:pt>
                <c:pt idx="10">
                  <c:v>-0.628202620770585</c:v>
                </c:pt>
                <c:pt idx="11">
                  <c:v>-0.682241075453912</c:v>
                </c:pt>
                <c:pt idx="12">
                  <c:v>-0.702142758238715</c:v>
                </c:pt>
                <c:pt idx="13">
                  <c:v>-0.752786220871327</c:v>
                </c:pt>
                <c:pt idx="14">
                  <c:v>-0.800391389432485</c:v>
                </c:pt>
                <c:pt idx="15">
                  <c:v>-0.818181818181818</c:v>
                </c:pt>
                <c:pt idx="16">
                  <c:v>-0.866666666666667</c:v>
                </c:pt>
                <c:pt idx="17">
                  <c:v>-0.887931034482759</c:v>
                </c:pt>
                <c:pt idx="18">
                  <c:v>-0.901639344262295</c:v>
                </c:pt>
                <c:pt idx="19">
                  <c:v>-0.909448818897638</c:v>
                </c:pt>
                <c:pt idx="20">
                  <c:v>-0.914772727272727</c:v>
                </c:pt>
                <c:pt idx="21">
                  <c:v>-0.942418426103647</c:v>
                </c:pt>
                <c:pt idx="22">
                  <c:v>-0.953917050691244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</c:numCache>
            </c:numRef>
          </c:val>
        </c:ser>
        <c:gapWidth val="60"/>
        <c:overlap val="0"/>
        <c:axId val="58685533"/>
        <c:axId val="40118256"/>
      </c:barChart>
      <c:catAx>
        <c:axId val="5868553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Growth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18256"/>
        <c:crosses val="autoZero"/>
        <c:auto val="1"/>
        <c:lblAlgn val="ctr"/>
        <c:lblOffset val="100"/>
        <c:noMultiLvlLbl val="0"/>
      </c:catAx>
      <c:valAx>
        <c:axId val="40118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Service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855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Usage Growth Rate by Channel, then Service (20-Jul to 26-Jul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'Channel-Service Growth'!K1</c:f>
              <c:strCache>
                <c:ptCount val="1"/>
                <c:pt idx="0">
                  <c:v>Growth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'Channel-Service Growth'!$A$2:$B$160</c:f>
              <c:multiLvlStrCache>
                <c:ptCount val="159"/>
                <c:lvl>
                  <c:pt idx="0">
                    <c:v>FuzzySearchAllListInfoPlusMA</c:v>
                  </c:pt>
                  <c:pt idx="1">
                    <c:v>GetAllCodeTablePlusMA</c:v>
                  </c:pt>
                  <c:pt idx="2">
                    <c:v>GetListSubTypePlusMA</c:v>
                  </c:pt>
                  <c:pt idx="3">
                    <c:v>SearchAllListInfoPlusMA</c:v>
                  </c:pt>
                  <c:pt idx="4">
                    <c:v>UploadNetbay</c:v>
                  </c:pt>
                  <c:pt idx="5">
                    <c:v>kycScoreEngineForOrg</c:v>
                  </c:pt>
                  <c:pt idx="6">
                    <c:v>AuthService</c:v>
                  </c:pt>
                  <c:pt idx="7">
                    <c:v>GetCRSOrgInfo</c:v>
                  </c:pt>
                  <c:pt idx="8">
                    <c:v>MaintainCRSOrgInfo</c:v>
                  </c:pt>
                  <c:pt idx="9">
                    <c:v>RegulatoryVerificationPlusMA</c:v>
                  </c:pt>
                  <c:pt idx="10">
                    <c:v>AuthService</c:v>
                  </c:pt>
                  <c:pt idx="11">
                    <c:v>SearchAMLListInfoByCid</c:v>
                  </c:pt>
                  <c:pt idx="12">
                    <c:v>SearchAllListInfo</c:v>
                  </c:pt>
                  <c:pt idx="13">
                    <c:v>SearchAllListInfo</c:v>
                  </c:pt>
                  <c:pt idx="14">
                    <c:v>RegulatoryVerificationPlusMA</c:v>
                  </c:pt>
                  <c:pt idx="15">
                    <c:v>AddPartyFATCAInfo</c:v>
                  </c:pt>
                  <c:pt idx="16">
                    <c:v>GetPartyFATCAInfo</c:v>
                  </c:pt>
                  <c:pt idx="17">
                    <c:v>MaintainParentCompanyInfo</c:v>
                  </c:pt>
                  <c:pt idx="18">
                    <c:v>UpdatePartyFATCAInfo</c:v>
                  </c:pt>
                  <c:pt idx="19">
                    <c:v>kycScoreEngineForOrg</c:v>
                  </c:pt>
                  <c:pt idx="20">
                    <c:v>AuthService</c:v>
                  </c:pt>
                  <c:pt idx="21">
                    <c:v>GetCRSOrgInfo</c:v>
                  </c:pt>
                  <c:pt idx="22">
                    <c:v>RegulatoryVerificationPlusMA</c:v>
                  </c:pt>
                  <c:pt idx="23">
                    <c:v>AuthService</c:v>
                  </c:pt>
                  <c:pt idx="24">
                    <c:v>MaintainCRSOrgInfo</c:v>
                  </c:pt>
                  <c:pt idx="25">
                    <c:v>SearchAllListInfo</c:v>
                  </c:pt>
                  <c:pt idx="26">
                    <c:v>RegulatoryVerificationPlusMA</c:v>
                  </c:pt>
                  <c:pt idx="27">
                    <c:v>AddMaintainPartyExtension</c:v>
                  </c:pt>
                  <c:pt idx="28">
                    <c:v>AddPartyFATCAInfo</c:v>
                  </c:pt>
                  <c:pt idx="29">
                    <c:v>KYCScoreEngineForOrg</c:v>
                  </c:pt>
                  <c:pt idx="30">
                    <c:v>MaintainParentCompanyInfo</c:v>
                  </c:pt>
                  <c:pt idx="31">
                    <c:v>MaintainPartyExtension</c:v>
                  </c:pt>
                  <c:pt idx="32">
                    <c:v>UpdateMaintainPartyExtension</c:v>
                  </c:pt>
                  <c:pt idx="33">
                    <c:v>UpdatePartyFATCAInfo</c:v>
                  </c:pt>
                  <c:pt idx="34">
                    <c:v>kycScoreEngineForOrg</c:v>
                  </c:pt>
                  <c:pt idx="35">
                    <c:v>AuthService</c:v>
                  </c:pt>
                  <c:pt idx="36">
                    <c:v>GetCRSCountryInfo</c:v>
                  </c:pt>
                  <c:pt idx="37">
                    <c:v>GetCRSPersonInfo</c:v>
                  </c:pt>
                  <c:pt idx="38">
                    <c:v>MaintainCRSPersonInfo</c:v>
                  </c:pt>
                  <c:pt idx="39">
                    <c:v>RegulatoryVerification</c:v>
                  </c:pt>
                  <c:pt idx="40">
                    <c:v>RegulatoryVerificationPlusMA</c:v>
                  </c:pt>
                  <c:pt idx="41">
                    <c:v>AuthService</c:v>
                  </c:pt>
                  <c:pt idx="42">
                    <c:v>GetCRSOrgInfo</c:v>
                  </c:pt>
                  <c:pt idx="43">
                    <c:v>GetCRSPersonInfo</c:v>
                  </c:pt>
                  <c:pt idx="44">
                    <c:v>MaintainCRSOrgInfo</c:v>
                  </c:pt>
                  <c:pt idx="45">
                    <c:v>MaintainCRSPersonInfo</c:v>
                  </c:pt>
                  <c:pt idx="46">
                    <c:v>MaintainEDDInfo</c:v>
                  </c:pt>
                  <c:pt idx="47">
                    <c:v>RegulatoryVerificationPlusMA</c:v>
                  </c:pt>
                  <c:pt idx="48">
                    <c:v>SearchAllListInfo</c:v>
                  </c:pt>
                  <c:pt idx="49">
                    <c:v>SearchAllListInfo</c:v>
                  </c:pt>
                  <c:pt idx="50">
                    <c:v>AuthService</c:v>
                  </c:pt>
                  <c:pt idx="51">
                    <c:v>GetCRSOrgInfo</c:v>
                  </c:pt>
                  <c:pt idx="52">
                    <c:v>GetCRSPersonInfo</c:v>
                  </c:pt>
                  <c:pt idx="53">
                    <c:v>MaintainCRSOrgInfo</c:v>
                  </c:pt>
                  <c:pt idx="54">
                    <c:v>MaintainCRSPersonInfo</c:v>
                  </c:pt>
                  <c:pt idx="55">
                    <c:v>SearchAllListInfo</c:v>
                  </c:pt>
                  <c:pt idx="56">
                    <c:v>SearchAllListInfo</c:v>
                  </c:pt>
                  <c:pt idx="57">
                    <c:v>AuthService</c:v>
                  </c:pt>
                  <c:pt idx="58">
                    <c:v>GetCRSPersonInfo</c:v>
                  </c:pt>
                  <c:pt idx="59">
                    <c:v>MaintainCRSPersonInfo</c:v>
                  </c:pt>
                  <c:pt idx="60">
                    <c:v>RegulatoryVerification</c:v>
                  </c:pt>
                  <c:pt idx="61">
                    <c:v>RegulatoryVerification</c:v>
                  </c:pt>
                  <c:pt idx="62">
                    <c:v>RegulatoryVerification</c:v>
                  </c:pt>
                  <c:pt idx="63">
                    <c:v>RegulatoryVerification</c:v>
                  </c:pt>
                  <c:pt idx="64">
                    <c:v>RegulatoryVerification</c:v>
                  </c:pt>
                  <c:pt idx="65">
                    <c:v>RegulatoryVerification</c:v>
                  </c:pt>
                  <c:pt idx="66">
                    <c:v>AddMaintainPartyExtension</c:v>
                  </c:pt>
                  <c:pt idx="67">
                    <c:v>AddPartyFATCAInfo</c:v>
                  </c:pt>
                  <c:pt idx="68">
                    <c:v>MaintainPartyExtension</c:v>
                  </c:pt>
                  <c:pt idx="69">
                    <c:v>UpdateMaintainPartyExtension</c:v>
                  </c:pt>
                  <c:pt idx="70">
                    <c:v>UpdatePartyFATCAInfo</c:v>
                  </c:pt>
                  <c:pt idx="71">
                    <c:v>RegulatoryVerificationPlusMA</c:v>
                  </c:pt>
                  <c:pt idx="72">
                    <c:v>ModuleAMLKYC</c:v>
                  </c:pt>
                  <c:pt idx="73">
                    <c:v>RegulatoryVerificationPlusMA</c:v>
                  </c:pt>
                  <c:pt idx="74">
                    <c:v>AuthService</c:v>
                  </c:pt>
                  <c:pt idx="75">
                    <c:v>GetCRSCountryInfo</c:v>
                  </c:pt>
                  <c:pt idx="76">
                    <c:v>GetCRSPersonInfo</c:v>
                  </c:pt>
                  <c:pt idx="77">
                    <c:v>MaintainCRSPersonInfo</c:v>
                  </c:pt>
                  <c:pt idx="78">
                    <c:v>MaintainEDDInfo</c:v>
                  </c:pt>
                  <c:pt idx="79">
                    <c:v>RegulatoryVerification</c:v>
                  </c:pt>
                  <c:pt idx="80">
                    <c:v>RegulatoryVerification</c:v>
                  </c:pt>
                  <c:pt idx="81">
                    <c:v>RegulatoryVerification</c:v>
                  </c:pt>
                  <c:pt idx="82">
                    <c:v>SearchAllListInfo</c:v>
                  </c:pt>
                  <c:pt idx="83">
                    <c:v>RegulatoryVerificationPlusMA</c:v>
                  </c:pt>
                  <c:pt idx="84">
                    <c:v>RegulatoryVerificationPlusMA</c:v>
                  </c:pt>
                  <c:pt idx="85">
                    <c:v>AddPartyFATCAInfo</c:v>
                  </c:pt>
                  <c:pt idx="86">
                    <c:v>GetPartyFATCAInfo</c:v>
                  </c:pt>
                  <c:pt idx="87">
                    <c:v>KYCScoreEngineForOrg</c:v>
                  </c:pt>
                  <c:pt idx="88">
                    <c:v>MaintainParentCompanyInfo</c:v>
                  </c:pt>
                  <c:pt idx="89">
                    <c:v>ParentCompanyInfo</c:v>
                  </c:pt>
                  <c:pt idx="90">
                    <c:v>UpdatePartyFATCAInfo</c:v>
                  </c:pt>
                  <c:pt idx="91">
                    <c:v>kycScoreEngineForOrg</c:v>
                  </c:pt>
                  <c:pt idx="92">
                    <c:v>AuthService</c:v>
                  </c:pt>
                  <c:pt idx="93">
                    <c:v>AuthService</c:v>
                  </c:pt>
                  <c:pt idx="94">
                    <c:v>RegulatoryVerification</c:v>
                  </c:pt>
                  <c:pt idx="95">
                    <c:v>RegulatoryVerification</c:v>
                  </c:pt>
                  <c:pt idx="96">
                    <c:v>SearchAllListInfo</c:v>
                  </c:pt>
                  <c:pt idx="97">
                    <c:v>SearchAllListInfo</c:v>
                  </c:pt>
                  <c:pt idx="98">
                    <c:v>RegulatoryVerificationPlusMA</c:v>
                  </c:pt>
                  <c:pt idx="99">
                    <c:v>findSuspectByPk</c:v>
                  </c:pt>
                  <c:pt idx="100">
                    <c:v>getCustomerDetail</c:v>
                  </c:pt>
                  <c:pt idx="101">
                    <c:v>getCustomerSuspects</c:v>
                  </c:pt>
                  <c:pt idx="102">
                    <c:v>login</c:v>
                  </c:pt>
                  <c:pt idx="103">
                    <c:v>logout</c:v>
                  </c:pt>
                  <c:pt idx="104">
                    <c:v>refresh</c:v>
                  </c:pt>
                  <c:pt idx="105">
                    <c:v>searchParty</c:v>
                  </c:pt>
                  <c:pt idx="106">
                    <c:v>searchSuspect</c:v>
                  </c:pt>
                  <c:pt idx="107">
                    <c:v>RegulatoryVerification</c:v>
                  </c:pt>
                  <c:pt idx="108">
                    <c:v>RegulatoryVerificationPlusMA</c:v>
                  </c:pt>
                  <c:pt idx="109">
                    <c:v>UploadNetbay</c:v>
                  </c:pt>
                  <c:pt idx="110">
                    <c:v>RegulatoryVerificationPlusMA</c:v>
                  </c:pt>
                  <c:pt idx="111">
                    <c:v>AuthService</c:v>
                  </c:pt>
                  <c:pt idx="112">
                    <c:v>GetCRSPersonInfo</c:v>
                  </c:pt>
                  <c:pt idx="113">
                    <c:v>MaintainCRSPersonInfo</c:v>
                  </c:pt>
                  <c:pt idx="114">
                    <c:v>RegulatoryVerificationPlusMA</c:v>
                  </c:pt>
                  <c:pt idx="115">
                    <c:v>RegulatoryVerification</c:v>
                  </c:pt>
                  <c:pt idx="116">
                    <c:v>AddListDetail</c:v>
                  </c:pt>
                  <c:pt idx="117">
                    <c:v>GetAllCodeTable</c:v>
                  </c:pt>
                  <c:pt idx="118">
                    <c:v>GetCodeTableByCondition</c:v>
                  </c:pt>
                  <c:pt idx="119">
                    <c:v>GetListDetail</c:v>
                  </c:pt>
                  <c:pt idx="120">
                    <c:v>InactiveListDetail</c:v>
                  </c:pt>
                  <c:pt idx="121">
                    <c:v>SearchPatialListInfo</c:v>
                  </c:pt>
                  <c:pt idx="122">
                    <c:v>SearchSuspectListInfo</c:v>
                  </c:pt>
                  <c:pt idx="123">
                    <c:v>SearchAllListInfo</c:v>
                  </c:pt>
                  <c:pt idx="124">
                    <c:v>SearchAllListInfo</c:v>
                  </c:pt>
                  <c:pt idx="125">
                    <c:v>RegulatoryVerificationPlusMA</c:v>
                  </c:pt>
                  <c:pt idx="126">
                    <c:v>SearchAllListInfo</c:v>
                  </c:pt>
                  <c:pt idx="127">
                    <c:v>RegulatoryVerificationPlusMA</c:v>
                  </c:pt>
                  <c:pt idx="128">
                    <c:v>AddMaintainPartyExtension</c:v>
                  </c:pt>
                  <c:pt idx="129">
                    <c:v>AddPartyFATCAInfo</c:v>
                  </c:pt>
                  <c:pt idx="130">
                    <c:v>MaintainPartyExtension</c:v>
                  </c:pt>
                  <c:pt idx="131">
                    <c:v>UpdateMaintainPartyExtension</c:v>
                  </c:pt>
                  <c:pt idx="132">
                    <c:v>UpdatePartyFATCAInfo</c:v>
                  </c:pt>
                  <c:pt idx="133">
                    <c:v>RegulatoryVerificationPlusMA</c:v>
                  </c:pt>
                  <c:pt idx="134">
                    <c:v>RegulatoryVerification</c:v>
                  </c:pt>
                  <c:pt idx="135">
                    <c:v>AuthService</c:v>
                  </c:pt>
                  <c:pt idx="136">
                    <c:v>MaintainCRSPersonInfo</c:v>
                  </c:pt>
                  <c:pt idx="137">
                    <c:v>AuthService</c:v>
                  </c:pt>
                  <c:pt idx="138">
                    <c:v>GetCRSPersonInfo</c:v>
                  </c:pt>
                  <c:pt idx="139">
                    <c:v>MaintainCRSPersonInfo</c:v>
                  </c:pt>
                  <c:pt idx="140">
                    <c:v>AuthService</c:v>
                  </c:pt>
                  <c:pt idx="141">
                    <c:v>MaintainCRSPersonInfo</c:v>
                  </c:pt>
                  <c:pt idx="142">
                    <c:v>AuthService</c:v>
                  </c:pt>
                  <c:pt idx="143">
                    <c:v>GetCRSPersonInfo</c:v>
                  </c:pt>
                  <c:pt idx="144">
                    <c:v>MaintainCRSPersonInfo</c:v>
                  </c:pt>
                  <c:pt idx="145">
                    <c:v>AuthService</c:v>
                  </c:pt>
                  <c:pt idx="146">
                    <c:v>MaintainCRSPersonInfo</c:v>
                  </c:pt>
                  <c:pt idx="147">
                    <c:v>AuthService</c:v>
                  </c:pt>
                  <c:pt idx="148">
                    <c:v>MaintainCRSPersonInfo</c:v>
                  </c:pt>
                  <c:pt idx="149">
                    <c:v>AuthService</c:v>
                  </c:pt>
                  <c:pt idx="150">
                    <c:v>GetCRSPersonInfo</c:v>
                  </c:pt>
                  <c:pt idx="151">
                    <c:v>MaintainCRSPersonInfo</c:v>
                  </c:pt>
                  <c:pt idx="152">
                    <c:v>AuthService</c:v>
                  </c:pt>
                  <c:pt idx="153">
                    <c:v>GetCRSPersonInfo</c:v>
                  </c:pt>
                  <c:pt idx="154">
                    <c:v>MaintainCRSPersonInfo</c:v>
                  </c:pt>
                  <c:pt idx="155">
                    <c:v>AuthService</c:v>
                  </c:pt>
                  <c:pt idx="156">
                    <c:v>GetCRSPersonInfo</c:v>
                  </c:pt>
                  <c:pt idx="157">
                    <c:v>MaintainCRSPersonInfo</c:v>
                  </c:pt>
                  <c:pt idx="158">
                    <c:v>RegulatoryVerification</c:v>
                  </c:pt>
                </c:lvl>
                <c:lvl>
                  <c:pt idx="0">
                    <c:v>AML</c:v>
                  </c:pt>
                  <c:pt idx="1">
                    <c:v>AML</c:v>
                  </c:pt>
                  <c:pt idx="2">
                    <c:v>AML</c:v>
                  </c:pt>
                  <c:pt idx="3">
                    <c:v>AML</c:v>
                  </c:pt>
                  <c:pt idx="4">
                    <c:v>AML</c:v>
                  </c:pt>
                  <c:pt idx="5">
                    <c:v>AMSC</c:v>
                  </c:pt>
                  <c:pt idx="6">
                    <c:v>AMSC_POPAC</c:v>
                  </c:pt>
                  <c:pt idx="7">
                    <c:v>AMSC_POPAC</c:v>
                  </c:pt>
                  <c:pt idx="8">
                    <c:v>AMSC_POPAC</c:v>
                  </c:pt>
                  <c:pt idx="9">
                    <c:v>AMSC_POPAC</c:v>
                  </c:pt>
                  <c:pt idx="10">
                    <c:v>BASE24WS_CHKAML</c:v>
                  </c:pt>
                  <c:pt idx="11">
                    <c:v>BASE24WS_CHKAML</c:v>
                  </c:pt>
                  <c:pt idx="12">
                    <c:v>BCL</c:v>
                  </c:pt>
                  <c:pt idx="13">
                    <c:v>BCM</c:v>
                  </c:pt>
                  <c:pt idx="14">
                    <c:v>BIZNEXT_EM</c:v>
                  </c:pt>
                  <c:pt idx="15">
                    <c:v>BZ</c:v>
                  </c:pt>
                  <c:pt idx="16">
                    <c:v>BZ</c:v>
                  </c:pt>
                  <c:pt idx="17">
                    <c:v>BZ</c:v>
                  </c:pt>
                  <c:pt idx="18">
                    <c:v>BZ</c:v>
                  </c:pt>
                  <c:pt idx="19">
                    <c:v>BZ</c:v>
                  </c:pt>
                  <c:pt idx="20">
                    <c:v>BZ_BZ</c:v>
                  </c:pt>
                  <c:pt idx="21">
                    <c:v>BZ_BZ</c:v>
                  </c:pt>
                  <c:pt idx="22">
                    <c:v>BZ_BZ</c:v>
                  </c:pt>
                  <c:pt idx="23">
                    <c:v>BZ_SOB</c:v>
                  </c:pt>
                  <c:pt idx="24">
                    <c:v>BZ_SOB</c:v>
                  </c:pt>
                  <c:pt idx="25">
                    <c:v>CAP-M</c:v>
                  </c:pt>
                  <c:pt idx="26">
                    <c:v>CASHMAN_SMARTYIELD</c:v>
                  </c:pt>
                  <c:pt idx="27">
                    <c:v>CBS</c:v>
                  </c:pt>
                  <c:pt idx="28">
                    <c:v>CBS</c:v>
                  </c:pt>
                  <c:pt idx="29">
                    <c:v>CBS</c:v>
                  </c:pt>
                  <c:pt idx="30">
                    <c:v>CBS</c:v>
                  </c:pt>
                  <c:pt idx="31">
                    <c:v>CBS</c:v>
                  </c:pt>
                  <c:pt idx="32">
                    <c:v>CBS</c:v>
                  </c:pt>
                  <c:pt idx="33">
                    <c:v>CBS</c:v>
                  </c:pt>
                  <c:pt idx="34">
                    <c:v>CBS</c:v>
                  </c:pt>
                  <c:pt idx="35">
                    <c:v>CBS_PDTeller</c:v>
                  </c:pt>
                  <c:pt idx="36">
                    <c:v>CBS_PDTeller</c:v>
                  </c:pt>
                  <c:pt idx="37">
                    <c:v>CBS_PDTeller</c:v>
                  </c:pt>
                  <c:pt idx="38">
                    <c:v>CBS_PDTeller</c:v>
                  </c:pt>
                  <c:pt idx="39">
                    <c:v>CBS_PDTeller</c:v>
                  </c:pt>
                  <c:pt idx="40">
                    <c:v>CBS_PDTeller</c:v>
                  </c:pt>
                  <c:pt idx="41">
                    <c:v>CBS_WebCSR</c:v>
                  </c:pt>
                  <c:pt idx="42">
                    <c:v>CBS_WebCSR</c:v>
                  </c:pt>
                  <c:pt idx="43">
                    <c:v>CBS_WebCSR</c:v>
                  </c:pt>
                  <c:pt idx="44">
                    <c:v>CBS_WebCSR</c:v>
                  </c:pt>
                  <c:pt idx="45">
                    <c:v>CBS_WebCSR</c:v>
                  </c:pt>
                  <c:pt idx="46">
                    <c:v>CBS_WebCSR</c:v>
                  </c:pt>
                  <c:pt idx="47">
                    <c:v>CBS_WebCSR</c:v>
                  </c:pt>
                  <c:pt idx="48">
                    <c:v>CLCT</c:v>
                  </c:pt>
                  <c:pt idx="49">
                    <c:v>CLOS-BC</c:v>
                  </c:pt>
                  <c:pt idx="50">
                    <c:v>CMK_CUSTODIAN</c:v>
                  </c:pt>
                  <c:pt idx="51">
                    <c:v>CMK_CUSTODIAN</c:v>
                  </c:pt>
                  <c:pt idx="52">
                    <c:v>CMK_CUSTODIAN</c:v>
                  </c:pt>
                  <c:pt idx="53">
                    <c:v>CMK_CUSTODIAN</c:v>
                  </c:pt>
                  <c:pt idx="54">
                    <c:v>CMK_CUSTODIAN</c:v>
                  </c:pt>
                  <c:pt idx="55">
                    <c:v>CMLOS</c:v>
                  </c:pt>
                  <c:pt idx="56">
                    <c:v>CRC-M</c:v>
                  </c:pt>
                  <c:pt idx="57">
                    <c:v>DIPGO_OPENACC</c:v>
                  </c:pt>
                  <c:pt idx="58">
                    <c:v>DIPGO_OPENACC</c:v>
                  </c:pt>
                  <c:pt idx="59">
                    <c:v>DIPGO_OPENACC</c:v>
                  </c:pt>
                  <c:pt idx="60">
                    <c:v>DL-PD_CHKCOM</c:v>
                  </c:pt>
                  <c:pt idx="61">
                    <c:v>DL-PD_LAI</c:v>
                  </c:pt>
                  <c:pt idx="62">
                    <c:v>ELG_ECC</c:v>
                  </c:pt>
                  <c:pt idx="63">
                    <c:v>ELG_ELG</c:v>
                  </c:pt>
                  <c:pt idx="64">
                    <c:v>ELG_ELG1BB</c:v>
                  </c:pt>
                  <c:pt idx="65">
                    <c:v>EPLG_EPLG</c:v>
                  </c:pt>
                  <c:pt idx="66">
                    <c:v>ESO</c:v>
                  </c:pt>
                  <c:pt idx="67">
                    <c:v>ESO</c:v>
                  </c:pt>
                  <c:pt idx="68">
                    <c:v>ESO</c:v>
                  </c:pt>
                  <c:pt idx="69">
                    <c:v>ESO</c:v>
                  </c:pt>
                  <c:pt idx="70">
                    <c:v>ESO</c:v>
                  </c:pt>
                  <c:pt idx="71">
                    <c:v>ESO_INS</c:v>
                  </c:pt>
                  <c:pt idx="72">
                    <c:v>ESO_OPAC</c:v>
                  </c:pt>
                  <c:pt idx="73">
                    <c:v>ESO_OPAC</c:v>
                  </c:pt>
                  <c:pt idx="74">
                    <c:v>ESO_OPACC</c:v>
                  </c:pt>
                  <c:pt idx="75">
                    <c:v>ESO_OPACC</c:v>
                  </c:pt>
                  <c:pt idx="76">
                    <c:v>ESO_OPACC</c:v>
                  </c:pt>
                  <c:pt idx="77">
                    <c:v>ESO_OPACC</c:v>
                  </c:pt>
                  <c:pt idx="78">
                    <c:v>ESO_OPACC</c:v>
                  </c:pt>
                  <c:pt idx="79">
                    <c:v>FB_FB</c:v>
                  </c:pt>
                  <c:pt idx="80">
                    <c:v>FITS_FITS</c:v>
                  </c:pt>
                  <c:pt idx="81">
                    <c:v>GMX_GMX-AML</c:v>
                  </c:pt>
                  <c:pt idx="82">
                    <c:v>HRLOS</c:v>
                  </c:pt>
                  <c:pt idx="83">
                    <c:v>KBIZ_MATYPE</c:v>
                  </c:pt>
                  <c:pt idx="84">
                    <c:v>KCORP_MATYPE</c:v>
                  </c:pt>
                  <c:pt idx="85">
                    <c:v>KYC</c:v>
                  </c:pt>
                  <c:pt idx="86">
                    <c:v>KYC</c:v>
                  </c:pt>
                  <c:pt idx="87">
                    <c:v>KYC</c:v>
                  </c:pt>
                  <c:pt idx="88">
                    <c:v>KYC</c:v>
                  </c:pt>
                  <c:pt idx="89">
                    <c:v>KYC</c:v>
                  </c:pt>
                  <c:pt idx="90">
                    <c:v>KYC</c:v>
                  </c:pt>
                  <c:pt idx="91">
                    <c:v>KYC</c:v>
                  </c:pt>
                  <c:pt idx="92">
                    <c:v>KYCCDD_RECAL</c:v>
                  </c:pt>
                  <c:pt idx="93">
                    <c:v>KYC_RECAL</c:v>
                  </c:pt>
                  <c:pt idx="94">
                    <c:v>KYC_RECAL</c:v>
                  </c:pt>
                  <c:pt idx="95">
                    <c:v>LCT_LCT</c:v>
                  </c:pt>
                  <c:pt idx="96">
                    <c:v>LG-ECC</c:v>
                  </c:pt>
                  <c:pt idx="97">
                    <c:v>LG-ELG</c:v>
                  </c:pt>
                  <c:pt idx="98">
                    <c:v>LSMS_CUSTDTL</c:v>
                  </c:pt>
                  <c:pt idx="99">
                    <c:v>MDMUI</c:v>
                  </c:pt>
                  <c:pt idx="100">
                    <c:v>MDMUI</c:v>
                  </c:pt>
                  <c:pt idx="101">
                    <c:v>MDMUI</c:v>
                  </c:pt>
                  <c:pt idx="102">
                    <c:v>MDMUI</c:v>
                  </c:pt>
                  <c:pt idx="103">
                    <c:v>MDMUI</c:v>
                  </c:pt>
                  <c:pt idx="104">
                    <c:v>MDMUI</c:v>
                  </c:pt>
                  <c:pt idx="105">
                    <c:v>MDMUI</c:v>
                  </c:pt>
                  <c:pt idx="106">
                    <c:v>MDMUI</c:v>
                  </c:pt>
                  <c:pt idx="107">
                    <c:v>NPA_NPA</c:v>
                  </c:pt>
                  <c:pt idx="108">
                    <c:v>NPA_NPA</c:v>
                  </c:pt>
                  <c:pt idx="109">
                    <c:v>NRT_AUTO</c:v>
                  </c:pt>
                  <c:pt idx="110">
                    <c:v>OAF_DISB</c:v>
                  </c:pt>
                  <c:pt idx="111">
                    <c:v>REG_CUSTODIAN</c:v>
                  </c:pt>
                  <c:pt idx="112">
                    <c:v>REG_CUSTODIAN</c:v>
                  </c:pt>
                  <c:pt idx="113">
                    <c:v>REG_CUSTODIAN</c:v>
                  </c:pt>
                  <c:pt idx="114">
                    <c:v>SAFEBOX_RENTSB</c:v>
                  </c:pt>
                  <c:pt idx="115">
                    <c:v>SAG1_RETAIL</c:v>
                  </c:pt>
                  <c:pt idx="116">
                    <c:v>SUSP</c:v>
                  </c:pt>
                  <c:pt idx="117">
                    <c:v>SUSP</c:v>
                  </c:pt>
                  <c:pt idx="118">
                    <c:v>SUSP</c:v>
                  </c:pt>
                  <c:pt idx="119">
                    <c:v>SUSP</c:v>
                  </c:pt>
                  <c:pt idx="120">
                    <c:v>SUSP</c:v>
                  </c:pt>
                  <c:pt idx="121">
                    <c:v>SUSP</c:v>
                  </c:pt>
                  <c:pt idx="122">
                    <c:v>SUSP</c:v>
                  </c:pt>
                  <c:pt idx="123">
                    <c:v>TAS-M</c:v>
                  </c:pt>
                  <c:pt idx="124">
                    <c:v>TDRCRT</c:v>
                  </c:pt>
                  <c:pt idx="125">
                    <c:v>TFS_TFS</c:v>
                  </c:pt>
                  <c:pt idx="126">
                    <c:v>TOP</c:v>
                  </c:pt>
                  <c:pt idx="127">
                    <c:v>XB_Cross-Border</c:v>
                  </c:pt>
                  <c:pt idx="128">
                    <c:v>eKYC</c:v>
                  </c:pt>
                  <c:pt idx="129">
                    <c:v>eKYC</c:v>
                  </c:pt>
                  <c:pt idx="130">
                    <c:v>eKYC</c:v>
                  </c:pt>
                  <c:pt idx="131">
                    <c:v>eKYC</c:v>
                  </c:pt>
                  <c:pt idx="132">
                    <c:v>eKYC</c:v>
                  </c:pt>
                  <c:pt idx="133">
                    <c:v>eKYC_NDID-ENROLLMENT</c:v>
                  </c:pt>
                  <c:pt idx="134">
                    <c:v>eKYC_NEXT_DIGITAL_LENDING</c:v>
                  </c:pt>
                  <c:pt idx="135">
                    <c:v>eKYC_N_ESAV</c:v>
                  </c:pt>
                  <c:pt idx="136">
                    <c:v>eKYC_N_ESAV</c:v>
                  </c:pt>
                  <c:pt idx="137">
                    <c:v>eKYC_N_ETB</c:v>
                  </c:pt>
                  <c:pt idx="138">
                    <c:v>eKYC_N_ETB</c:v>
                  </c:pt>
                  <c:pt idx="139">
                    <c:v>eKYC_N_ETB</c:v>
                  </c:pt>
                  <c:pt idx="140">
                    <c:v>eKYC_N_MF</c:v>
                  </c:pt>
                  <c:pt idx="141">
                    <c:v>eKYC_N_MF</c:v>
                  </c:pt>
                  <c:pt idx="142">
                    <c:v>eKYC_N_MNC</c:v>
                  </c:pt>
                  <c:pt idx="143">
                    <c:v>eKYC_N_MNC</c:v>
                  </c:pt>
                  <c:pt idx="144">
                    <c:v>eKYC_N_MNC</c:v>
                  </c:pt>
                  <c:pt idx="145">
                    <c:v>eKYC_N_ZEROTAX</c:v>
                  </c:pt>
                  <c:pt idx="146">
                    <c:v>eKYC_N_ZEROTAX</c:v>
                  </c:pt>
                  <c:pt idx="147">
                    <c:v>eKYC_PPLUS</c:v>
                  </c:pt>
                  <c:pt idx="148">
                    <c:v>eKYC_PPLUS</c:v>
                  </c:pt>
                  <c:pt idx="149">
                    <c:v>eKYC_PT_ESAV</c:v>
                  </c:pt>
                  <c:pt idx="150">
                    <c:v>eKYC_PT_ESAV</c:v>
                  </c:pt>
                  <c:pt idx="151">
                    <c:v>eKYC_PT_ESAV</c:v>
                  </c:pt>
                  <c:pt idx="152">
                    <c:v>eKYC_PT_GCASA</c:v>
                  </c:pt>
                  <c:pt idx="153">
                    <c:v>eKYC_PT_GCASA</c:v>
                  </c:pt>
                  <c:pt idx="154">
                    <c:v>eKYC_PT_GCASA</c:v>
                  </c:pt>
                  <c:pt idx="155">
                    <c:v>eKYC_PT_PAOTANG</c:v>
                  </c:pt>
                  <c:pt idx="156">
                    <c:v>eKYC_PT_PAOTANG</c:v>
                  </c:pt>
                  <c:pt idx="157">
                    <c:v>eKYC_PT_PAOTANG</c:v>
                  </c:pt>
                  <c:pt idx="158">
                    <c:v>eKYC_SP-FIXED-IAL</c:v>
                  </c:pt>
                </c:lvl>
              </c:multiLvlStrCache>
            </c:multiLvlStrRef>
          </c:cat>
          <c:val>
            <c:numRef>
              <c:f>'Channel-Service Growth'!$K$2:$K$160</c:f>
              <c:numCache>
                <c:formatCode>0.0%</c:formatCode>
                <c:ptCount val="15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-0.800391389432485</c:v>
                </c:pt>
                <c:pt idx="4">
                  <c:v>-1</c:v>
                </c:pt>
                <c:pt idx="9">
                  <c:v>-0.285714285714286</c:v>
                </c:pt>
                <c:pt idx="10">
                  <c:v>0</c:v>
                </c:pt>
                <c:pt idx="11">
                  <c:v>-0.202490824490548</c:v>
                </c:pt>
                <c:pt idx="12">
                  <c:v>-1</c:v>
                </c:pt>
                <c:pt idx="13">
                  <c:v>-0.979166666666667</c:v>
                </c:pt>
                <c:pt idx="14">
                  <c:v>-0.975232198142415</c:v>
                </c:pt>
                <c:pt idx="15">
                  <c:v>-0.857142857142857</c:v>
                </c:pt>
                <c:pt idx="16">
                  <c:v>-0.880733944954129</c:v>
                </c:pt>
                <c:pt idx="17">
                  <c:v>-0.846153846153846</c:v>
                </c:pt>
                <c:pt idx="18">
                  <c:v>-1</c:v>
                </c:pt>
                <c:pt idx="19">
                  <c:v>-0.805970149253731</c:v>
                </c:pt>
                <c:pt idx="20">
                  <c:v>-0.891156462585034</c:v>
                </c:pt>
                <c:pt idx="21">
                  <c:v>-0.926829268292683</c:v>
                </c:pt>
                <c:pt idx="22">
                  <c:v>-0.867365542388332</c:v>
                </c:pt>
                <c:pt idx="23">
                  <c:v>-0.833333333333333</c:v>
                </c:pt>
                <c:pt idx="24">
                  <c:v>-0.814285714285714</c:v>
                </c:pt>
                <c:pt idx="25">
                  <c:v>-0.981132075471698</c:v>
                </c:pt>
                <c:pt idx="26">
                  <c:v>-1</c:v>
                </c:pt>
                <c:pt idx="27">
                  <c:v>-0.623853211009174</c:v>
                </c:pt>
                <c:pt idx="28">
                  <c:v>-0.570388349514563</c:v>
                </c:pt>
                <c:pt idx="29">
                  <c:v>-1</c:v>
                </c:pt>
                <c:pt idx="30">
                  <c:v>-1</c:v>
                </c:pt>
                <c:pt idx="31">
                  <c:v>-0.627552487776819</c:v>
                </c:pt>
                <c:pt idx="32">
                  <c:v>-0.627799938631482</c:v>
                </c:pt>
                <c:pt idx="33">
                  <c:v>-0.40625</c:v>
                </c:pt>
                <c:pt idx="34">
                  <c:v>-0.97029702970297</c:v>
                </c:pt>
                <c:pt idx="35">
                  <c:v>-0.166666666666667</c:v>
                </c:pt>
                <c:pt idx="36">
                  <c:v>-0.753549695740365</c:v>
                </c:pt>
                <c:pt idx="37">
                  <c:v>-0.753549695740365</c:v>
                </c:pt>
                <c:pt idx="38">
                  <c:v>-0.76416539050536</c:v>
                </c:pt>
                <c:pt idx="39">
                  <c:v>-0.91304347826087</c:v>
                </c:pt>
                <c:pt idx="40">
                  <c:v>-0.895114942528736</c:v>
                </c:pt>
                <c:pt idx="41">
                  <c:v>-0.625</c:v>
                </c:pt>
                <c:pt idx="42">
                  <c:v>-0.984496124031008</c:v>
                </c:pt>
                <c:pt idx="43">
                  <c:v>-0.666666666666667</c:v>
                </c:pt>
                <c:pt idx="44">
                  <c:v>-0.990291262135922</c:v>
                </c:pt>
                <c:pt idx="45">
                  <c:v>-0.665</c:v>
                </c:pt>
                <c:pt idx="46">
                  <c:v>-0.75</c:v>
                </c:pt>
                <c:pt idx="47">
                  <c:v>-0.789787234042553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-0.515214027849407</c:v>
                </c:pt>
                <c:pt idx="56">
                  <c:v>-0.844660194174757</c:v>
                </c:pt>
                <c:pt idx="57">
                  <c:v>-0.636363636363636</c:v>
                </c:pt>
                <c:pt idx="58">
                  <c:v>-0.454545454545455</c:v>
                </c:pt>
                <c:pt idx="59">
                  <c:v>-0.8</c:v>
                </c:pt>
                <c:pt idx="60">
                  <c:v>-0.1119333229475</c:v>
                </c:pt>
                <c:pt idx="61">
                  <c:v>-0.104584291817286</c:v>
                </c:pt>
                <c:pt idx="62">
                  <c:v>-0.962962962962963</c:v>
                </c:pt>
                <c:pt idx="63">
                  <c:v>-0.967741935483871</c:v>
                </c:pt>
                <c:pt idx="65">
                  <c:v>-1</c:v>
                </c:pt>
                <c:pt idx="66">
                  <c:v>-0.734835355285962</c:v>
                </c:pt>
                <c:pt idx="67">
                  <c:v>-0.641182217879824</c:v>
                </c:pt>
                <c:pt idx="68">
                  <c:v>-0.692013774234634</c:v>
                </c:pt>
                <c:pt idx="69">
                  <c:v>-0.6882062872406</c:v>
                </c:pt>
                <c:pt idx="70">
                  <c:v>-0.6</c:v>
                </c:pt>
                <c:pt idx="71">
                  <c:v>-0.876750700280112</c:v>
                </c:pt>
                <c:pt idx="72">
                  <c:v>-1</c:v>
                </c:pt>
                <c:pt idx="73">
                  <c:v>-0.688753269398431</c:v>
                </c:pt>
                <c:pt idx="74">
                  <c:v>-0.680782029950083</c:v>
                </c:pt>
                <c:pt idx="75">
                  <c:v>0</c:v>
                </c:pt>
                <c:pt idx="76">
                  <c:v>-0.680170754164225</c:v>
                </c:pt>
                <c:pt idx="77">
                  <c:v>-0.682926829268293</c:v>
                </c:pt>
                <c:pt idx="78">
                  <c:v>-0.857142857142857</c:v>
                </c:pt>
                <c:pt idx="79">
                  <c:v>-0.811634349030471</c:v>
                </c:pt>
                <c:pt idx="80">
                  <c:v>-1</c:v>
                </c:pt>
                <c:pt idx="82">
                  <c:v>-1</c:v>
                </c:pt>
                <c:pt idx="83">
                  <c:v>-0.816073178699771</c:v>
                </c:pt>
                <c:pt idx="84">
                  <c:v>-0.902511078286558</c:v>
                </c:pt>
                <c:pt idx="86">
                  <c:v>-1</c:v>
                </c:pt>
                <c:pt idx="87">
                  <c:v>-0.931895573212259</c:v>
                </c:pt>
                <c:pt idx="88">
                  <c:v>-1</c:v>
                </c:pt>
                <c:pt idx="89">
                  <c:v>-0.901639344262295</c:v>
                </c:pt>
                <c:pt idx="91">
                  <c:v>-0.953488372093023</c:v>
                </c:pt>
                <c:pt idx="92">
                  <c:v>0</c:v>
                </c:pt>
                <c:pt idx="93">
                  <c:v>-0.880597014925373</c:v>
                </c:pt>
                <c:pt idx="94">
                  <c:v>-0.579545454545455</c:v>
                </c:pt>
                <c:pt idx="95">
                  <c:v>-0.997645673925839</c:v>
                </c:pt>
                <c:pt idx="96">
                  <c:v>-0.961538461538462</c:v>
                </c:pt>
                <c:pt idx="97">
                  <c:v>-0.967741935483871</c:v>
                </c:pt>
                <c:pt idx="98">
                  <c:v>-0.739077669902913</c:v>
                </c:pt>
                <c:pt idx="99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-0.1</c:v>
                </c:pt>
                <c:pt idx="110">
                  <c:v>-1</c:v>
                </c:pt>
                <c:pt idx="114">
                  <c:v>-0.840909090909091</c:v>
                </c:pt>
                <c:pt idx="115">
                  <c:v>-0.774193548387097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-0.967391304347826</c:v>
                </c:pt>
                <c:pt idx="125">
                  <c:v>-1</c:v>
                </c:pt>
                <c:pt idx="126">
                  <c:v>-0.890495867768595</c:v>
                </c:pt>
                <c:pt idx="127">
                  <c:v>-1</c:v>
                </c:pt>
                <c:pt idx="128">
                  <c:v>-0.570164348925411</c:v>
                </c:pt>
                <c:pt idx="129">
                  <c:v>-0.381739948904128</c:v>
                </c:pt>
                <c:pt idx="130">
                  <c:v>-0.45972173506372</c:v>
                </c:pt>
                <c:pt idx="131">
                  <c:v>-0.39581403963697</c:v>
                </c:pt>
                <c:pt idx="132">
                  <c:v>-0.255836264790534</c:v>
                </c:pt>
                <c:pt idx="133">
                  <c:v>-0.276761661704239</c:v>
                </c:pt>
                <c:pt idx="134">
                  <c:v>-0.281763826606876</c:v>
                </c:pt>
                <c:pt idx="135">
                  <c:v>-0.333333333333333</c:v>
                </c:pt>
                <c:pt idx="136">
                  <c:v>-0.116412213740458</c:v>
                </c:pt>
                <c:pt idx="137">
                  <c:v>-0.25</c:v>
                </c:pt>
                <c:pt idx="138">
                  <c:v>-0.157469077069458</c:v>
                </c:pt>
                <c:pt idx="139">
                  <c:v>-0.457040866568193</c:v>
                </c:pt>
                <c:pt idx="140">
                  <c:v>0</c:v>
                </c:pt>
                <c:pt idx="141">
                  <c:v>0.11280487804878</c:v>
                </c:pt>
                <c:pt idx="142">
                  <c:v>0</c:v>
                </c:pt>
                <c:pt idx="143">
                  <c:v>-0.382022471910112</c:v>
                </c:pt>
                <c:pt idx="144">
                  <c:v>0</c:v>
                </c:pt>
                <c:pt idx="145">
                  <c:v>0</c:v>
                </c:pt>
                <c:pt idx="146">
                  <c:v>0.195652173913044</c:v>
                </c:pt>
                <c:pt idx="147">
                  <c:v>-1</c:v>
                </c:pt>
                <c:pt idx="148">
                  <c:v>-1</c:v>
                </c:pt>
                <c:pt idx="149">
                  <c:v>-0.25</c:v>
                </c:pt>
                <c:pt idx="150">
                  <c:v>-0.218911917098446</c:v>
                </c:pt>
                <c:pt idx="151">
                  <c:v>-0.223012281835811</c:v>
                </c:pt>
                <c:pt idx="152">
                  <c:v>-0.5</c:v>
                </c:pt>
                <c:pt idx="153">
                  <c:v>-0.5</c:v>
                </c:pt>
                <c:pt idx="154">
                  <c:v>-0.2875</c:v>
                </c:pt>
                <c:pt idx="155">
                  <c:v>0</c:v>
                </c:pt>
                <c:pt idx="156">
                  <c:v>-0.377890173410405</c:v>
                </c:pt>
                <c:pt idx="157">
                  <c:v>-0.573355817875211</c:v>
                </c:pt>
                <c:pt idx="158">
                  <c:v>-0.668951336531871</c:v>
                </c:pt>
              </c:numCache>
            </c:numRef>
          </c:val>
        </c:ser>
        <c:gapWidth val="60"/>
        <c:overlap val="0"/>
        <c:axId val="75755265"/>
        <c:axId val="59737867"/>
      </c:barChart>
      <c:catAx>
        <c:axId val="7575526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Growth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37867"/>
        <c:crosses val="autoZero"/>
        <c:auto val="1"/>
        <c:lblAlgn val="ctr"/>
        <c:lblOffset val="100"/>
        <c:noMultiLvlLbl val="0"/>
      </c:catAx>
      <c:valAx>
        <c:axId val="59737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552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23</xdr:col>
      <xdr:colOff>253800</xdr:colOff>
      <xdr:row>40</xdr:row>
      <xdr:rowOff>129960</xdr:rowOff>
    </xdr:to>
    <xdr:graphicFrame>
      <xdr:nvGraphicFramePr>
        <xdr:cNvPr id="0" name="Chart 1"/>
        <xdr:cNvGraphicFramePr/>
      </xdr:nvGraphicFramePr>
      <xdr:xfrm>
        <a:off x="11515680" y="190440"/>
        <a:ext cx="9359640" cy="75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0</xdr:rowOff>
    </xdr:from>
    <xdr:to>
      <xdr:col>26</xdr:col>
      <xdr:colOff>176040</xdr:colOff>
      <xdr:row>136</xdr:row>
      <xdr:rowOff>39960</xdr:rowOff>
    </xdr:to>
    <xdr:graphicFrame>
      <xdr:nvGraphicFramePr>
        <xdr:cNvPr id="1" name="Chart 1"/>
        <xdr:cNvGraphicFramePr/>
      </xdr:nvGraphicFramePr>
      <xdr:xfrm>
        <a:off x="14182560" y="190440"/>
        <a:ext cx="10799640" cy="2575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46223</v>
      </c>
      <c r="B2" s="3"/>
      <c r="C2" s="3"/>
      <c r="D2" s="3" t="n">
        <v>1</v>
      </c>
    </row>
    <row r="3" customFormat="false" ht="15" hidden="false" customHeight="false" outlineLevel="0" collapsed="false">
      <c r="A3" s="2" t="n">
        <v>46223</v>
      </c>
      <c r="B3" s="3" t="s">
        <v>4</v>
      </c>
      <c r="C3" s="3" t="s">
        <v>5</v>
      </c>
      <c r="D3" s="3" t="n">
        <v>64</v>
      </c>
    </row>
    <row r="4" customFormat="false" ht="15" hidden="false" customHeight="false" outlineLevel="0" collapsed="false">
      <c r="A4" s="2" t="n">
        <v>46223</v>
      </c>
      <c r="B4" s="3" t="s">
        <v>4</v>
      </c>
      <c r="C4" s="3" t="s">
        <v>6</v>
      </c>
      <c r="D4" s="3" t="n">
        <v>15</v>
      </c>
    </row>
    <row r="5" customFormat="false" ht="15" hidden="false" customHeight="false" outlineLevel="0" collapsed="false">
      <c r="A5" s="2" t="n">
        <v>46223</v>
      </c>
      <c r="B5" s="3" t="s">
        <v>4</v>
      </c>
      <c r="C5" s="3" t="s">
        <v>7</v>
      </c>
      <c r="D5" s="3" t="n">
        <v>12</v>
      </c>
    </row>
    <row r="6" customFormat="false" ht="15" hidden="false" customHeight="false" outlineLevel="0" collapsed="false">
      <c r="A6" s="2" t="n">
        <v>46223</v>
      </c>
      <c r="B6" s="3" t="s">
        <v>4</v>
      </c>
      <c r="C6" s="3" t="s">
        <v>8</v>
      </c>
      <c r="D6" s="3" t="n">
        <v>511</v>
      </c>
    </row>
    <row r="7" customFormat="false" ht="15" hidden="false" customHeight="false" outlineLevel="0" collapsed="false">
      <c r="A7" s="2" t="n">
        <v>46223</v>
      </c>
      <c r="B7" s="3" t="s">
        <v>4</v>
      </c>
      <c r="C7" s="3" t="s">
        <v>9</v>
      </c>
      <c r="D7" s="3" t="n">
        <v>1</v>
      </c>
    </row>
    <row r="8" customFormat="false" ht="15" hidden="false" customHeight="false" outlineLevel="0" collapsed="false">
      <c r="A8" s="2" t="n">
        <v>46223</v>
      </c>
      <c r="B8" s="3" t="s">
        <v>10</v>
      </c>
      <c r="C8" s="3" t="s">
        <v>11</v>
      </c>
      <c r="D8" s="3" t="n">
        <v>7</v>
      </c>
    </row>
    <row r="9" customFormat="false" ht="15" hidden="false" customHeight="false" outlineLevel="0" collapsed="false">
      <c r="A9" s="2" t="n">
        <v>46223</v>
      </c>
      <c r="B9" s="3" t="s">
        <v>12</v>
      </c>
      <c r="C9" s="3" t="s">
        <v>13</v>
      </c>
      <c r="D9" s="3" t="n">
        <v>130238</v>
      </c>
    </row>
    <row r="10" customFormat="false" ht="15" hidden="false" customHeight="false" outlineLevel="0" collapsed="false">
      <c r="A10" s="2" t="n">
        <v>46223</v>
      </c>
      <c r="B10" s="3" t="s">
        <v>12</v>
      </c>
      <c r="C10" s="3" t="s">
        <v>14</v>
      </c>
      <c r="D10" s="3" t="n">
        <v>4</v>
      </c>
    </row>
    <row r="11" customFormat="false" ht="15" hidden="false" customHeight="false" outlineLevel="0" collapsed="false">
      <c r="A11" s="2" t="n">
        <v>46223</v>
      </c>
      <c r="B11" s="3" t="s">
        <v>15</v>
      </c>
      <c r="C11" s="3" t="s">
        <v>16</v>
      </c>
      <c r="D11" s="3" t="n">
        <v>35</v>
      </c>
    </row>
    <row r="12" customFormat="false" ht="15" hidden="false" customHeight="false" outlineLevel="0" collapsed="false">
      <c r="A12" s="2" t="n">
        <v>46223</v>
      </c>
      <c r="B12" s="3" t="s">
        <v>17</v>
      </c>
      <c r="C12" s="3" t="s">
        <v>16</v>
      </c>
      <c r="D12" s="3" t="n">
        <v>96</v>
      </c>
    </row>
    <row r="13" customFormat="false" ht="15" hidden="false" customHeight="false" outlineLevel="0" collapsed="false">
      <c r="A13" s="2" t="n">
        <v>46223</v>
      </c>
      <c r="B13" s="3" t="s">
        <v>18</v>
      </c>
      <c r="C13" s="3" t="s">
        <v>11</v>
      </c>
      <c r="D13" s="3" t="n">
        <v>323</v>
      </c>
    </row>
    <row r="14" customFormat="false" ht="15" hidden="false" customHeight="false" outlineLevel="0" collapsed="false">
      <c r="A14" s="2" t="n">
        <v>46223</v>
      </c>
      <c r="B14" s="3" t="s">
        <v>19</v>
      </c>
      <c r="C14" s="3" t="s">
        <v>20</v>
      </c>
      <c r="D14" s="3" t="n">
        <v>56</v>
      </c>
    </row>
    <row r="15" customFormat="false" ht="15" hidden="false" customHeight="false" outlineLevel="0" collapsed="false">
      <c r="A15" s="2" t="n">
        <v>46223</v>
      </c>
      <c r="B15" s="3" t="s">
        <v>19</v>
      </c>
      <c r="C15" s="3" t="s">
        <v>21</v>
      </c>
      <c r="D15" s="3" t="n">
        <v>109</v>
      </c>
    </row>
    <row r="16" customFormat="false" ht="15" hidden="false" customHeight="false" outlineLevel="0" collapsed="false">
      <c r="A16" s="2" t="n">
        <v>46223</v>
      </c>
      <c r="B16" s="3" t="s">
        <v>19</v>
      </c>
      <c r="C16" s="3" t="s">
        <v>22</v>
      </c>
      <c r="D16" s="3" t="n">
        <v>4</v>
      </c>
    </row>
    <row r="17" customFormat="false" ht="15" hidden="false" customHeight="false" outlineLevel="0" collapsed="false">
      <c r="A17" s="2" t="n">
        <v>46223</v>
      </c>
      <c r="B17" s="3" t="s">
        <v>19</v>
      </c>
      <c r="C17" s="3" t="s">
        <v>23</v>
      </c>
      <c r="D17" s="3" t="n">
        <v>134</v>
      </c>
    </row>
    <row r="18" customFormat="false" ht="15" hidden="false" customHeight="false" outlineLevel="0" collapsed="false">
      <c r="A18" s="2" t="n">
        <v>46223</v>
      </c>
      <c r="B18" s="3" t="s">
        <v>19</v>
      </c>
      <c r="C18" s="3" t="s">
        <v>24</v>
      </c>
      <c r="D18" s="3" t="n">
        <v>130</v>
      </c>
    </row>
    <row r="19" customFormat="false" ht="15" hidden="false" customHeight="false" outlineLevel="0" collapsed="false">
      <c r="A19" s="2" t="n">
        <v>46223</v>
      </c>
      <c r="B19" s="3" t="s">
        <v>25</v>
      </c>
      <c r="C19" s="3" t="s">
        <v>14</v>
      </c>
      <c r="D19" s="3" t="n">
        <v>147</v>
      </c>
    </row>
    <row r="20" customFormat="false" ht="15" hidden="false" customHeight="false" outlineLevel="0" collapsed="false">
      <c r="A20" s="2" t="n">
        <v>46223</v>
      </c>
      <c r="B20" s="3" t="s">
        <v>25</v>
      </c>
      <c r="C20" s="3" t="s">
        <v>26</v>
      </c>
      <c r="D20" s="3" t="n">
        <v>82</v>
      </c>
    </row>
    <row r="21" customFormat="false" ht="15" hidden="false" customHeight="false" outlineLevel="0" collapsed="false">
      <c r="A21" s="2" t="n">
        <v>46223</v>
      </c>
      <c r="B21" s="3" t="s">
        <v>25</v>
      </c>
      <c r="C21" s="3" t="s">
        <v>11</v>
      </c>
      <c r="D21" s="3" t="n">
        <v>2194</v>
      </c>
    </row>
    <row r="22" customFormat="false" ht="15" hidden="false" customHeight="false" outlineLevel="0" collapsed="false">
      <c r="A22" s="2" t="n">
        <v>46223</v>
      </c>
      <c r="B22" s="3" t="s">
        <v>27</v>
      </c>
      <c r="C22" s="3" t="s">
        <v>14</v>
      </c>
      <c r="D22" s="3" t="n">
        <v>66</v>
      </c>
    </row>
    <row r="23" customFormat="false" ht="15" hidden="false" customHeight="false" outlineLevel="0" collapsed="false">
      <c r="A23" s="2" t="n">
        <v>46223</v>
      </c>
      <c r="B23" s="3" t="s">
        <v>27</v>
      </c>
      <c r="C23" s="3" t="s">
        <v>28</v>
      </c>
      <c r="D23" s="3" t="n">
        <v>70</v>
      </c>
    </row>
    <row r="24" customFormat="false" ht="15" hidden="false" customHeight="false" outlineLevel="0" collapsed="false">
      <c r="A24" s="2" t="n">
        <v>46223</v>
      </c>
      <c r="B24" s="3" t="s">
        <v>29</v>
      </c>
      <c r="C24" s="3" t="s">
        <v>16</v>
      </c>
      <c r="D24" s="3" t="n">
        <v>159</v>
      </c>
    </row>
    <row r="25" customFormat="false" ht="15" hidden="false" customHeight="false" outlineLevel="0" collapsed="false">
      <c r="A25" s="2" t="n">
        <v>46223</v>
      </c>
      <c r="B25" s="3" t="s">
        <v>30</v>
      </c>
      <c r="C25" s="3" t="s">
        <v>11</v>
      </c>
      <c r="D25" s="3" t="n">
        <v>11</v>
      </c>
    </row>
    <row r="26" customFormat="false" ht="15" hidden="false" customHeight="false" outlineLevel="0" collapsed="false">
      <c r="A26" s="2" t="n">
        <v>46223</v>
      </c>
      <c r="B26" s="3" t="s">
        <v>31</v>
      </c>
      <c r="C26" s="3" t="s">
        <v>32</v>
      </c>
      <c r="D26" s="3" t="n">
        <v>218</v>
      </c>
    </row>
    <row r="27" customFormat="false" ht="15" hidden="false" customHeight="false" outlineLevel="0" collapsed="false">
      <c r="A27" s="2" t="n">
        <v>46223</v>
      </c>
      <c r="B27" s="3" t="s">
        <v>31</v>
      </c>
      <c r="C27" s="3" t="s">
        <v>33</v>
      </c>
      <c r="D27" s="3" t="n">
        <v>3477</v>
      </c>
    </row>
    <row r="28" customFormat="false" ht="15" hidden="false" customHeight="false" outlineLevel="0" collapsed="false">
      <c r="A28" s="2" t="n">
        <v>46223</v>
      </c>
      <c r="B28" s="3" t="s">
        <v>31</v>
      </c>
      <c r="C28" s="3" t="s">
        <v>34</v>
      </c>
      <c r="D28" s="3" t="n">
        <v>3259</v>
      </c>
    </row>
    <row r="29" customFormat="false" ht="15" hidden="false" customHeight="false" outlineLevel="0" collapsed="false">
      <c r="A29" s="2" t="n">
        <v>46223</v>
      </c>
      <c r="B29" s="3" t="s">
        <v>31</v>
      </c>
      <c r="C29" s="3" t="s">
        <v>23</v>
      </c>
      <c r="D29" s="3" t="n">
        <v>202</v>
      </c>
    </row>
    <row r="30" customFormat="false" ht="15" hidden="false" customHeight="false" outlineLevel="0" collapsed="false">
      <c r="A30" s="2" t="n">
        <v>46223</v>
      </c>
      <c r="B30" s="3" t="s">
        <v>31</v>
      </c>
      <c r="C30" s="3" t="s">
        <v>35</v>
      </c>
      <c r="D30" s="3" t="n">
        <v>322</v>
      </c>
    </row>
    <row r="31" customFormat="false" ht="15" hidden="false" customHeight="false" outlineLevel="0" collapsed="false">
      <c r="A31" s="2" t="n">
        <v>46223</v>
      </c>
      <c r="B31" s="3" t="s">
        <v>31</v>
      </c>
      <c r="C31" s="3" t="s">
        <v>24</v>
      </c>
      <c r="D31" s="3" t="n">
        <v>16</v>
      </c>
    </row>
    <row r="32" customFormat="false" ht="15" hidden="false" customHeight="false" outlineLevel="0" collapsed="false">
      <c r="A32" s="2" t="n">
        <v>46223</v>
      </c>
      <c r="B32" s="3" t="s">
        <v>31</v>
      </c>
      <c r="C32" s="3" t="s">
        <v>20</v>
      </c>
      <c r="D32" s="3" t="n">
        <v>412</v>
      </c>
    </row>
    <row r="33" customFormat="false" ht="15" hidden="false" customHeight="false" outlineLevel="0" collapsed="false">
      <c r="A33" s="2" t="n">
        <v>46223</v>
      </c>
      <c r="B33" s="3" t="s">
        <v>31</v>
      </c>
      <c r="C33" s="3" t="s">
        <v>22</v>
      </c>
      <c r="D33" s="3" t="n">
        <v>64</v>
      </c>
    </row>
    <row r="34" customFormat="false" ht="15" hidden="false" customHeight="false" outlineLevel="0" collapsed="false">
      <c r="A34" s="2" t="n">
        <v>46223</v>
      </c>
      <c r="B34" s="3" t="s">
        <v>36</v>
      </c>
      <c r="C34" s="3" t="s">
        <v>37</v>
      </c>
      <c r="D34" s="3" t="n">
        <v>986</v>
      </c>
    </row>
    <row r="35" customFormat="false" ht="15" hidden="false" customHeight="false" outlineLevel="0" collapsed="false">
      <c r="A35" s="2" t="n">
        <v>46223</v>
      </c>
      <c r="B35" s="3" t="s">
        <v>36</v>
      </c>
      <c r="C35" s="3" t="s">
        <v>38</v>
      </c>
      <c r="D35" s="3" t="n">
        <v>986</v>
      </c>
    </row>
    <row r="36" customFormat="false" ht="15" hidden="false" customHeight="false" outlineLevel="0" collapsed="false">
      <c r="A36" s="2" t="n">
        <v>46223</v>
      </c>
      <c r="B36" s="3" t="s">
        <v>36</v>
      </c>
      <c r="C36" s="3" t="s">
        <v>39</v>
      </c>
      <c r="D36" s="3" t="n">
        <v>653</v>
      </c>
    </row>
    <row r="37" customFormat="false" ht="15" hidden="false" customHeight="false" outlineLevel="0" collapsed="false">
      <c r="A37" s="2" t="n">
        <v>46223</v>
      </c>
      <c r="B37" s="3" t="s">
        <v>36</v>
      </c>
      <c r="C37" s="3" t="s">
        <v>40</v>
      </c>
      <c r="D37" s="3" t="n">
        <v>23</v>
      </c>
    </row>
    <row r="38" customFormat="false" ht="15" hidden="false" customHeight="false" outlineLevel="0" collapsed="false">
      <c r="A38" s="2" t="n">
        <v>46223</v>
      </c>
      <c r="B38" s="3" t="s">
        <v>36</v>
      </c>
      <c r="C38" s="3" t="s">
        <v>11</v>
      </c>
      <c r="D38" s="3" t="n">
        <v>23664</v>
      </c>
    </row>
    <row r="39" customFormat="false" ht="15" hidden="false" customHeight="false" outlineLevel="0" collapsed="false">
      <c r="A39" s="2" t="n">
        <v>46223</v>
      </c>
      <c r="B39" s="3" t="s">
        <v>36</v>
      </c>
      <c r="C39" s="3" t="s">
        <v>14</v>
      </c>
      <c r="D39" s="3" t="n">
        <v>6</v>
      </c>
    </row>
    <row r="40" customFormat="false" ht="15" hidden="false" customHeight="false" outlineLevel="0" collapsed="false">
      <c r="A40" s="2" t="n">
        <v>46223</v>
      </c>
      <c r="B40" s="3" t="s">
        <v>41</v>
      </c>
      <c r="C40" s="3" t="s">
        <v>14</v>
      </c>
      <c r="D40" s="3" t="n">
        <v>16</v>
      </c>
    </row>
    <row r="41" customFormat="false" ht="15" hidden="false" customHeight="false" outlineLevel="0" collapsed="false">
      <c r="A41" s="2" t="n">
        <v>46223</v>
      </c>
      <c r="B41" s="3" t="s">
        <v>41</v>
      </c>
      <c r="C41" s="3" t="s">
        <v>26</v>
      </c>
      <c r="D41" s="3" t="n">
        <v>129</v>
      </c>
    </row>
    <row r="42" customFormat="false" ht="15" hidden="false" customHeight="false" outlineLevel="0" collapsed="false">
      <c r="A42" s="2" t="n">
        <v>46223</v>
      </c>
      <c r="B42" s="3" t="s">
        <v>41</v>
      </c>
      <c r="C42" s="3" t="s">
        <v>38</v>
      </c>
      <c r="D42" s="3" t="n">
        <v>252</v>
      </c>
    </row>
    <row r="43" customFormat="false" ht="15" hidden="false" customHeight="false" outlineLevel="0" collapsed="false">
      <c r="A43" s="2" t="n">
        <v>46223</v>
      </c>
      <c r="B43" s="3" t="s">
        <v>41</v>
      </c>
      <c r="C43" s="3" t="s">
        <v>28</v>
      </c>
      <c r="D43" s="3" t="n">
        <v>103</v>
      </c>
    </row>
    <row r="44" customFormat="false" ht="15" hidden="false" customHeight="false" outlineLevel="0" collapsed="false">
      <c r="A44" s="2" t="n">
        <v>46223</v>
      </c>
      <c r="B44" s="3" t="s">
        <v>41</v>
      </c>
      <c r="C44" s="3" t="s">
        <v>39</v>
      </c>
      <c r="D44" s="3" t="n">
        <v>200</v>
      </c>
    </row>
    <row r="45" customFormat="false" ht="15" hidden="false" customHeight="false" outlineLevel="0" collapsed="false">
      <c r="A45" s="2" t="n">
        <v>46223</v>
      </c>
      <c r="B45" s="3" t="s">
        <v>41</v>
      </c>
      <c r="C45" s="3" t="s">
        <v>42</v>
      </c>
      <c r="D45" s="3" t="n">
        <v>4</v>
      </c>
    </row>
    <row r="46" customFormat="false" ht="15" hidden="false" customHeight="false" outlineLevel="0" collapsed="false">
      <c r="A46" s="2" t="n">
        <v>46223</v>
      </c>
      <c r="B46" s="3" t="s">
        <v>41</v>
      </c>
      <c r="C46" s="3" t="s">
        <v>11</v>
      </c>
      <c r="D46" s="3" t="n">
        <v>1175</v>
      </c>
    </row>
    <row r="47" customFormat="false" ht="15" hidden="false" customHeight="false" outlineLevel="0" collapsed="false">
      <c r="A47" s="2" t="n">
        <v>46223</v>
      </c>
      <c r="B47" s="3" t="s">
        <v>43</v>
      </c>
      <c r="C47" s="3" t="s">
        <v>16</v>
      </c>
      <c r="D47" s="3" t="n">
        <v>122</v>
      </c>
    </row>
    <row r="48" customFormat="false" ht="15" hidden="false" customHeight="false" outlineLevel="0" collapsed="false">
      <c r="A48" s="2" t="n">
        <v>46223</v>
      </c>
      <c r="B48" s="3" t="s">
        <v>44</v>
      </c>
      <c r="C48" s="3" t="s">
        <v>16</v>
      </c>
      <c r="D48" s="3" t="n">
        <v>3</v>
      </c>
    </row>
    <row r="49" customFormat="false" ht="15" hidden="false" customHeight="false" outlineLevel="0" collapsed="false">
      <c r="A49" s="2" t="n">
        <v>46223</v>
      </c>
      <c r="B49" s="3" t="s">
        <v>45</v>
      </c>
      <c r="C49" s="3" t="s">
        <v>14</v>
      </c>
      <c r="D49" s="3" t="n">
        <v>15</v>
      </c>
    </row>
    <row r="50" customFormat="false" ht="15" hidden="false" customHeight="false" outlineLevel="0" collapsed="false">
      <c r="A50" s="2" t="n">
        <v>46223</v>
      </c>
      <c r="B50" s="3" t="s">
        <v>45</v>
      </c>
      <c r="C50" s="3" t="s">
        <v>26</v>
      </c>
      <c r="D50" s="3" t="n">
        <v>6</v>
      </c>
    </row>
    <row r="51" customFormat="false" ht="15" hidden="false" customHeight="false" outlineLevel="0" collapsed="false">
      <c r="A51" s="2" t="n">
        <v>46223</v>
      </c>
      <c r="B51" s="3" t="s">
        <v>45</v>
      </c>
      <c r="C51" s="3" t="s">
        <v>38</v>
      </c>
      <c r="D51" s="3" t="n">
        <v>7</v>
      </c>
    </row>
    <row r="52" customFormat="false" ht="15" hidden="false" customHeight="false" outlineLevel="0" collapsed="false">
      <c r="A52" s="2" t="n">
        <v>46223</v>
      </c>
      <c r="B52" s="3" t="s">
        <v>45</v>
      </c>
      <c r="C52" s="3" t="s">
        <v>28</v>
      </c>
      <c r="D52" s="3" t="n">
        <v>3</v>
      </c>
    </row>
    <row r="53" customFormat="false" ht="15" hidden="false" customHeight="false" outlineLevel="0" collapsed="false">
      <c r="A53" s="2" t="n">
        <v>46223</v>
      </c>
      <c r="B53" s="3" t="s">
        <v>45</v>
      </c>
      <c r="C53" s="3" t="s">
        <v>39</v>
      </c>
      <c r="D53" s="3" t="n">
        <v>6</v>
      </c>
    </row>
    <row r="54" customFormat="false" ht="15" hidden="false" customHeight="false" outlineLevel="0" collapsed="false">
      <c r="A54" s="2" t="n">
        <v>46223</v>
      </c>
      <c r="B54" s="3" t="s">
        <v>46</v>
      </c>
      <c r="C54" s="3" t="s">
        <v>16</v>
      </c>
      <c r="D54" s="3" t="n">
        <v>7756</v>
      </c>
    </row>
    <row r="55" customFormat="false" ht="15" hidden="false" customHeight="false" outlineLevel="0" collapsed="false">
      <c r="A55" s="2" t="n">
        <v>46223</v>
      </c>
      <c r="B55" s="3" t="s">
        <v>47</v>
      </c>
      <c r="C55" s="3" t="s">
        <v>16</v>
      </c>
      <c r="D55" s="3" t="n">
        <v>103</v>
      </c>
    </row>
    <row r="56" customFormat="false" ht="15" hidden="false" customHeight="false" outlineLevel="0" collapsed="false">
      <c r="A56" s="2" t="n">
        <v>46223</v>
      </c>
      <c r="B56" s="3" t="s">
        <v>48</v>
      </c>
      <c r="C56" s="3" t="s">
        <v>38</v>
      </c>
      <c r="D56" s="3" t="n">
        <v>11</v>
      </c>
    </row>
    <row r="57" customFormat="false" ht="15" hidden="false" customHeight="false" outlineLevel="0" collapsed="false">
      <c r="A57" s="2" t="n">
        <v>46223</v>
      </c>
      <c r="B57" s="3" t="s">
        <v>48</v>
      </c>
      <c r="C57" s="3" t="s">
        <v>39</v>
      </c>
      <c r="D57" s="3" t="n">
        <v>5</v>
      </c>
    </row>
    <row r="58" customFormat="false" ht="15" hidden="false" customHeight="false" outlineLevel="0" collapsed="false">
      <c r="A58" s="2" t="n">
        <v>46223</v>
      </c>
      <c r="B58" s="3" t="s">
        <v>48</v>
      </c>
      <c r="C58" s="3" t="s">
        <v>14</v>
      </c>
      <c r="D58" s="3" t="n">
        <v>11</v>
      </c>
    </row>
    <row r="59" customFormat="false" ht="15" hidden="false" customHeight="false" outlineLevel="0" collapsed="false">
      <c r="A59" s="2" t="n">
        <v>46223</v>
      </c>
      <c r="B59" s="3" t="s">
        <v>49</v>
      </c>
      <c r="C59" s="3" t="s">
        <v>40</v>
      </c>
      <c r="D59" s="3" t="n">
        <v>12838</v>
      </c>
    </row>
    <row r="60" customFormat="false" ht="15" hidden="false" customHeight="false" outlineLevel="0" collapsed="false">
      <c r="A60" s="2" t="n">
        <v>46223</v>
      </c>
      <c r="B60" s="3" t="s">
        <v>50</v>
      </c>
      <c r="C60" s="3" t="s">
        <v>40</v>
      </c>
      <c r="D60" s="3" t="n">
        <v>12172</v>
      </c>
    </row>
    <row r="61" customFormat="false" ht="15" hidden="false" customHeight="false" outlineLevel="0" collapsed="false">
      <c r="A61" s="2" t="n">
        <v>46223</v>
      </c>
      <c r="B61" s="3" t="s">
        <v>51</v>
      </c>
      <c r="C61" s="3" t="s">
        <v>32</v>
      </c>
      <c r="D61" s="3" t="n">
        <v>3164</v>
      </c>
    </row>
    <row r="62" customFormat="false" ht="15" hidden="false" customHeight="false" outlineLevel="0" collapsed="false">
      <c r="A62" s="2" t="n">
        <v>46223</v>
      </c>
      <c r="B62" s="3" t="s">
        <v>51</v>
      </c>
      <c r="C62" s="3" t="s">
        <v>33</v>
      </c>
      <c r="D62" s="3" t="n">
        <v>8553</v>
      </c>
    </row>
    <row r="63" customFormat="false" ht="15" hidden="false" customHeight="false" outlineLevel="0" collapsed="false">
      <c r="A63" s="2" t="n">
        <v>46223</v>
      </c>
      <c r="B63" s="3" t="s">
        <v>51</v>
      </c>
      <c r="C63" s="3" t="s">
        <v>34</v>
      </c>
      <c r="D63" s="3" t="n">
        <v>5399</v>
      </c>
    </row>
    <row r="64" customFormat="false" ht="15" hidden="false" customHeight="false" outlineLevel="0" collapsed="false">
      <c r="A64" s="2" t="n">
        <v>46223</v>
      </c>
      <c r="B64" s="3" t="s">
        <v>51</v>
      </c>
      <c r="C64" s="3" t="s">
        <v>20</v>
      </c>
      <c r="D64" s="3" t="n">
        <v>7437</v>
      </c>
    </row>
    <row r="65" customFormat="false" ht="15" hidden="false" customHeight="false" outlineLevel="0" collapsed="false">
      <c r="A65" s="2" t="n">
        <v>46223</v>
      </c>
      <c r="B65" s="3" t="s">
        <v>51</v>
      </c>
      <c r="C65" s="3" t="s">
        <v>22</v>
      </c>
      <c r="D65" s="3" t="n">
        <v>3127</v>
      </c>
    </row>
    <row r="66" customFormat="false" ht="15" hidden="false" customHeight="false" outlineLevel="0" collapsed="false">
      <c r="A66" s="2" t="n">
        <v>46223</v>
      </c>
      <c r="B66" s="3" t="s">
        <v>52</v>
      </c>
      <c r="C66" s="3" t="s">
        <v>11</v>
      </c>
      <c r="D66" s="3" t="n">
        <v>14106</v>
      </c>
    </row>
    <row r="67" customFormat="false" ht="15" hidden="false" customHeight="false" outlineLevel="0" collapsed="false">
      <c r="A67" s="2" t="n">
        <v>46223</v>
      </c>
      <c r="B67" s="3" t="s">
        <v>53</v>
      </c>
      <c r="C67" s="3" t="s">
        <v>14</v>
      </c>
      <c r="D67" s="3" t="n">
        <v>3</v>
      </c>
    </row>
    <row r="68" customFormat="false" ht="15" hidden="false" customHeight="false" outlineLevel="0" collapsed="false">
      <c r="A68" s="2" t="n">
        <v>46223</v>
      </c>
      <c r="B68" s="3" t="s">
        <v>53</v>
      </c>
      <c r="C68" s="3" t="s">
        <v>39</v>
      </c>
      <c r="D68" s="3" t="n">
        <v>524</v>
      </c>
    </row>
    <row r="69" customFormat="false" ht="15" hidden="false" customHeight="false" outlineLevel="0" collapsed="false">
      <c r="A69" s="2" t="n">
        <v>46223</v>
      </c>
      <c r="B69" s="3" t="s">
        <v>54</v>
      </c>
      <c r="C69" s="3" t="s">
        <v>38</v>
      </c>
      <c r="D69" s="3" t="n">
        <v>4204</v>
      </c>
    </row>
    <row r="70" customFormat="false" ht="15" hidden="false" customHeight="false" outlineLevel="0" collapsed="false">
      <c r="A70" s="2" t="n">
        <v>46223</v>
      </c>
      <c r="B70" s="3" t="s">
        <v>54</v>
      </c>
      <c r="C70" s="3" t="s">
        <v>39</v>
      </c>
      <c r="D70" s="3" t="n">
        <v>8124</v>
      </c>
    </row>
    <row r="71" customFormat="false" ht="15" hidden="false" customHeight="false" outlineLevel="0" collapsed="false">
      <c r="A71" s="2" t="n">
        <v>46223</v>
      </c>
      <c r="B71" s="3" t="s">
        <v>54</v>
      </c>
      <c r="C71" s="3" t="s">
        <v>14</v>
      </c>
      <c r="D71" s="3" t="n">
        <v>4</v>
      </c>
    </row>
    <row r="72" customFormat="false" ht="15" hidden="false" customHeight="false" outlineLevel="0" collapsed="false">
      <c r="A72" s="2" t="n">
        <v>46223</v>
      </c>
      <c r="B72" s="3" t="s">
        <v>55</v>
      </c>
      <c r="C72" s="3" t="s">
        <v>40</v>
      </c>
      <c r="D72" s="3" t="n">
        <v>1338</v>
      </c>
    </row>
    <row r="73" customFormat="false" ht="15" hidden="false" customHeight="false" outlineLevel="0" collapsed="false">
      <c r="A73" s="2" t="n">
        <v>46223</v>
      </c>
      <c r="B73" s="3" t="s">
        <v>56</v>
      </c>
      <c r="C73" s="3" t="s">
        <v>14</v>
      </c>
      <c r="D73" s="3" t="n">
        <v>3</v>
      </c>
    </row>
    <row r="74" customFormat="false" ht="15" hidden="false" customHeight="false" outlineLevel="0" collapsed="false">
      <c r="A74" s="2" t="n">
        <v>46223</v>
      </c>
      <c r="B74" s="3" t="s">
        <v>56</v>
      </c>
      <c r="C74" s="3" t="s">
        <v>39</v>
      </c>
      <c r="D74" s="3" t="n">
        <v>984</v>
      </c>
    </row>
    <row r="75" customFormat="false" ht="15" hidden="false" customHeight="false" outlineLevel="0" collapsed="false">
      <c r="A75" s="2" t="n">
        <v>46223</v>
      </c>
      <c r="B75" s="3" t="s">
        <v>57</v>
      </c>
      <c r="C75" s="3" t="s">
        <v>38</v>
      </c>
      <c r="D75" s="3" t="n">
        <v>89</v>
      </c>
    </row>
    <row r="76" customFormat="false" ht="15" hidden="false" customHeight="false" outlineLevel="0" collapsed="false">
      <c r="A76" s="2" t="n">
        <v>46223</v>
      </c>
      <c r="B76" s="3" t="s">
        <v>57</v>
      </c>
      <c r="C76" s="3" t="s">
        <v>39</v>
      </c>
      <c r="D76" s="3" t="n">
        <v>1</v>
      </c>
    </row>
    <row r="77" customFormat="false" ht="15" hidden="false" customHeight="false" outlineLevel="0" collapsed="false">
      <c r="A77" s="2" t="n">
        <v>46223</v>
      </c>
      <c r="B77" s="3" t="s">
        <v>57</v>
      </c>
      <c r="C77" s="3" t="s">
        <v>14</v>
      </c>
      <c r="D77" s="3" t="n">
        <v>2</v>
      </c>
    </row>
    <row r="78" customFormat="false" ht="15" hidden="false" customHeight="false" outlineLevel="0" collapsed="false">
      <c r="A78" s="2" t="n">
        <v>46223</v>
      </c>
      <c r="B78" s="3" t="s">
        <v>58</v>
      </c>
      <c r="C78" s="3" t="s">
        <v>14</v>
      </c>
      <c r="D78" s="3" t="n">
        <v>2</v>
      </c>
    </row>
    <row r="79" customFormat="false" ht="15" hidden="false" customHeight="false" outlineLevel="0" collapsed="false">
      <c r="A79" s="2" t="n">
        <v>46223</v>
      </c>
      <c r="B79" s="3" t="s">
        <v>58</v>
      </c>
      <c r="C79" s="3" t="s">
        <v>39</v>
      </c>
      <c r="D79" s="3" t="n">
        <v>46</v>
      </c>
    </row>
    <row r="80" customFormat="false" ht="15" hidden="false" customHeight="false" outlineLevel="0" collapsed="false">
      <c r="A80" s="2" t="n">
        <v>46223</v>
      </c>
      <c r="B80" s="3" t="s">
        <v>59</v>
      </c>
      <c r="C80" s="3" t="s">
        <v>39</v>
      </c>
      <c r="D80" s="3" t="n">
        <v>4</v>
      </c>
    </row>
    <row r="81" customFormat="false" ht="15" hidden="false" customHeight="false" outlineLevel="0" collapsed="false">
      <c r="A81" s="2" t="n">
        <v>46223</v>
      </c>
      <c r="B81" s="3" t="s">
        <v>59</v>
      </c>
      <c r="C81" s="3" t="s">
        <v>14</v>
      </c>
      <c r="D81" s="3" t="n">
        <v>3</v>
      </c>
    </row>
    <row r="82" customFormat="false" ht="15" hidden="false" customHeight="false" outlineLevel="0" collapsed="false">
      <c r="A82" s="2" t="n">
        <v>46223</v>
      </c>
      <c r="B82" s="3" t="s">
        <v>60</v>
      </c>
      <c r="C82" s="3" t="s">
        <v>14</v>
      </c>
      <c r="D82" s="3" t="n">
        <v>4</v>
      </c>
    </row>
    <row r="83" customFormat="false" ht="15" hidden="false" customHeight="false" outlineLevel="0" collapsed="false">
      <c r="A83" s="2" t="n">
        <v>46223</v>
      </c>
      <c r="B83" s="3" t="s">
        <v>60</v>
      </c>
      <c r="C83" s="3" t="s">
        <v>38</v>
      </c>
      <c r="D83" s="3" t="n">
        <v>772</v>
      </c>
    </row>
    <row r="84" customFormat="false" ht="15" hidden="false" customHeight="false" outlineLevel="0" collapsed="false">
      <c r="A84" s="2" t="n">
        <v>46223</v>
      </c>
      <c r="B84" s="3" t="s">
        <v>60</v>
      </c>
      <c r="C84" s="3" t="s">
        <v>39</v>
      </c>
      <c r="D84" s="3" t="n">
        <v>1547</v>
      </c>
    </row>
    <row r="85" customFormat="false" ht="15" hidden="false" customHeight="false" outlineLevel="0" collapsed="false">
      <c r="A85" s="2" t="n">
        <v>46223</v>
      </c>
      <c r="B85" s="3" t="s">
        <v>61</v>
      </c>
      <c r="C85" s="3" t="s">
        <v>38</v>
      </c>
      <c r="D85" s="3" t="n">
        <v>44</v>
      </c>
    </row>
    <row r="86" customFormat="false" ht="15" hidden="false" customHeight="false" outlineLevel="0" collapsed="false">
      <c r="A86" s="2" t="n">
        <v>46223</v>
      </c>
      <c r="B86" s="3" t="s">
        <v>61</v>
      </c>
      <c r="C86" s="3" t="s">
        <v>39</v>
      </c>
      <c r="D86" s="3" t="n">
        <v>80</v>
      </c>
    </row>
    <row r="87" customFormat="false" ht="15" hidden="false" customHeight="false" outlineLevel="0" collapsed="false">
      <c r="A87" s="2" t="n">
        <v>46223</v>
      </c>
      <c r="B87" s="3" t="s">
        <v>61</v>
      </c>
      <c r="C87" s="3" t="s">
        <v>14</v>
      </c>
      <c r="D87" s="3" t="n">
        <v>4</v>
      </c>
    </row>
    <row r="88" customFormat="false" ht="15" hidden="false" customHeight="false" outlineLevel="0" collapsed="false">
      <c r="A88" s="2" t="n">
        <v>46223</v>
      </c>
      <c r="B88" s="3" t="s">
        <v>62</v>
      </c>
      <c r="C88" s="3" t="s">
        <v>14</v>
      </c>
      <c r="D88" s="3" t="n">
        <v>1</v>
      </c>
    </row>
    <row r="89" customFormat="false" ht="15" hidden="false" customHeight="false" outlineLevel="0" collapsed="false">
      <c r="A89" s="2" t="n">
        <v>46223</v>
      </c>
      <c r="B89" s="3" t="s">
        <v>62</v>
      </c>
      <c r="C89" s="3" t="s">
        <v>38</v>
      </c>
      <c r="D89" s="3" t="n">
        <v>4152</v>
      </c>
    </row>
    <row r="90" customFormat="false" ht="15" hidden="false" customHeight="false" outlineLevel="0" collapsed="false">
      <c r="A90" s="2" t="n">
        <v>46223</v>
      </c>
      <c r="B90" s="3" t="s">
        <v>62</v>
      </c>
      <c r="C90" s="3" t="s">
        <v>39</v>
      </c>
      <c r="D90" s="3" t="n">
        <v>593</v>
      </c>
    </row>
    <row r="91" customFormat="false" ht="15" hidden="false" customHeight="false" outlineLevel="0" collapsed="false">
      <c r="A91" s="2" t="n">
        <v>46223</v>
      </c>
      <c r="B91" s="3" t="s">
        <v>63</v>
      </c>
      <c r="C91" s="3" t="s">
        <v>40</v>
      </c>
      <c r="D91" s="3" t="n">
        <v>5836</v>
      </c>
    </row>
    <row r="92" customFormat="false" ht="15" hidden="false" customHeight="false" outlineLevel="0" collapsed="false">
      <c r="A92" s="2" t="n">
        <v>46223</v>
      </c>
      <c r="B92" s="3" t="s">
        <v>64</v>
      </c>
      <c r="C92" s="3" t="s">
        <v>40</v>
      </c>
      <c r="D92" s="3" t="n">
        <v>27</v>
      </c>
    </row>
    <row r="93" customFormat="false" ht="15" hidden="false" customHeight="false" outlineLevel="0" collapsed="false">
      <c r="A93" s="2" t="n">
        <v>46223</v>
      </c>
      <c r="B93" s="3" t="s">
        <v>65</v>
      </c>
      <c r="C93" s="3" t="s">
        <v>40</v>
      </c>
      <c r="D93" s="3" t="n">
        <v>31</v>
      </c>
    </row>
    <row r="94" customFormat="false" ht="15" hidden="false" customHeight="false" outlineLevel="0" collapsed="false">
      <c r="A94" s="2" t="n">
        <v>46223</v>
      </c>
      <c r="B94" s="3" t="s">
        <v>66</v>
      </c>
      <c r="C94" s="3" t="s">
        <v>40</v>
      </c>
      <c r="D94" s="3" t="n">
        <v>2</v>
      </c>
    </row>
    <row r="95" customFormat="false" ht="15" hidden="false" customHeight="false" outlineLevel="0" collapsed="false">
      <c r="A95" s="2" t="n">
        <v>46223</v>
      </c>
      <c r="B95" s="3" t="s">
        <v>67</v>
      </c>
      <c r="C95" s="3" t="s">
        <v>20</v>
      </c>
      <c r="D95" s="3" t="n">
        <v>4094</v>
      </c>
    </row>
    <row r="96" customFormat="false" ht="15" hidden="false" customHeight="false" outlineLevel="0" collapsed="false">
      <c r="A96" s="2" t="n">
        <v>46223</v>
      </c>
      <c r="B96" s="3" t="s">
        <v>67</v>
      </c>
      <c r="C96" s="3" t="s">
        <v>22</v>
      </c>
      <c r="D96" s="3" t="n">
        <v>5</v>
      </c>
    </row>
    <row r="97" customFormat="false" ht="15" hidden="false" customHeight="false" outlineLevel="0" collapsed="false">
      <c r="A97" s="2" t="n">
        <v>46223</v>
      </c>
      <c r="B97" s="3" t="s">
        <v>67</v>
      </c>
      <c r="C97" s="3" t="s">
        <v>32</v>
      </c>
      <c r="D97" s="3" t="n">
        <v>1731</v>
      </c>
    </row>
    <row r="98" customFormat="false" ht="15" hidden="false" customHeight="false" outlineLevel="0" collapsed="false">
      <c r="A98" s="2" t="n">
        <v>46223</v>
      </c>
      <c r="B98" s="3" t="s">
        <v>67</v>
      </c>
      <c r="C98" s="3" t="s">
        <v>33</v>
      </c>
      <c r="D98" s="3" t="n">
        <v>21199</v>
      </c>
    </row>
    <row r="99" customFormat="false" ht="15" hidden="false" customHeight="false" outlineLevel="0" collapsed="false">
      <c r="A99" s="2" t="n">
        <v>46223</v>
      </c>
      <c r="B99" s="3" t="s">
        <v>67</v>
      </c>
      <c r="C99" s="3" t="s">
        <v>34</v>
      </c>
      <c r="D99" s="3" t="n">
        <v>19468</v>
      </c>
    </row>
    <row r="100" customFormat="false" ht="15" hidden="false" customHeight="false" outlineLevel="0" collapsed="false">
      <c r="A100" s="2" t="n">
        <v>46223</v>
      </c>
      <c r="B100" s="3" t="s">
        <v>68</v>
      </c>
      <c r="C100" s="3" t="s">
        <v>11</v>
      </c>
      <c r="D100" s="3" t="n">
        <v>357</v>
      </c>
    </row>
    <row r="101" customFormat="false" ht="15" hidden="false" customHeight="false" outlineLevel="0" collapsed="false">
      <c r="A101" s="2" t="n">
        <v>46223</v>
      </c>
      <c r="B101" s="3" t="s">
        <v>69</v>
      </c>
      <c r="C101" s="3" t="s">
        <v>70</v>
      </c>
      <c r="D101" s="3" t="n">
        <v>3</v>
      </c>
    </row>
    <row r="102" customFormat="false" ht="15" hidden="false" customHeight="false" outlineLevel="0" collapsed="false">
      <c r="A102" s="2" t="n">
        <v>46223</v>
      </c>
      <c r="B102" s="3" t="s">
        <v>69</v>
      </c>
      <c r="C102" s="3" t="s">
        <v>11</v>
      </c>
      <c r="D102" s="3" t="n">
        <v>57350</v>
      </c>
    </row>
    <row r="103" customFormat="false" ht="15" hidden="false" customHeight="false" outlineLevel="0" collapsed="false">
      <c r="A103" s="2" t="n">
        <v>46223</v>
      </c>
      <c r="B103" s="3" t="s">
        <v>71</v>
      </c>
      <c r="C103" s="3" t="s">
        <v>42</v>
      </c>
      <c r="D103" s="3" t="n">
        <v>7</v>
      </c>
    </row>
    <row r="104" customFormat="false" ht="15" hidden="false" customHeight="false" outlineLevel="0" collapsed="false">
      <c r="A104" s="2" t="n">
        <v>46223</v>
      </c>
      <c r="B104" s="3" t="s">
        <v>71</v>
      </c>
      <c r="C104" s="3" t="s">
        <v>37</v>
      </c>
      <c r="D104" s="3" t="n">
        <v>1</v>
      </c>
    </row>
    <row r="105" customFormat="false" ht="15" hidden="false" customHeight="false" outlineLevel="0" collapsed="false">
      <c r="A105" s="2" t="n">
        <v>46223</v>
      </c>
      <c r="B105" s="3" t="s">
        <v>71</v>
      </c>
      <c r="C105" s="3" t="s">
        <v>38</v>
      </c>
      <c r="D105" s="3" t="n">
        <v>23894</v>
      </c>
    </row>
    <row r="106" customFormat="false" ht="15" hidden="false" customHeight="false" outlineLevel="0" collapsed="false">
      <c r="A106" s="2" t="n">
        <v>46223</v>
      </c>
      <c r="B106" s="3" t="s">
        <v>71</v>
      </c>
      <c r="C106" s="3" t="s">
        <v>39</v>
      </c>
      <c r="D106" s="3" t="n">
        <v>5166</v>
      </c>
    </row>
    <row r="107" customFormat="false" ht="15" hidden="false" customHeight="false" outlineLevel="0" collapsed="false">
      <c r="A107" s="2" t="n">
        <v>46223</v>
      </c>
      <c r="B107" s="3" t="s">
        <v>71</v>
      </c>
      <c r="C107" s="3" t="s">
        <v>14</v>
      </c>
      <c r="D107" s="3" t="n">
        <v>24040</v>
      </c>
    </row>
    <row r="108" customFormat="false" ht="15" hidden="false" customHeight="false" outlineLevel="0" collapsed="false">
      <c r="A108" s="2" t="n">
        <v>46223</v>
      </c>
      <c r="B108" s="3" t="s">
        <v>72</v>
      </c>
      <c r="C108" s="3" t="s">
        <v>40</v>
      </c>
      <c r="D108" s="3" t="n">
        <v>722</v>
      </c>
    </row>
    <row r="109" customFormat="false" ht="15" hidden="false" customHeight="false" outlineLevel="0" collapsed="false">
      <c r="A109" s="2" t="n">
        <v>46223</v>
      </c>
      <c r="B109" s="3" t="s">
        <v>73</v>
      </c>
      <c r="C109" s="3" t="s">
        <v>40</v>
      </c>
      <c r="D109" s="3" t="n">
        <v>44</v>
      </c>
    </row>
    <row r="110" customFormat="false" ht="15" hidden="false" customHeight="false" outlineLevel="0" collapsed="false">
      <c r="A110" s="2" t="n">
        <v>46223</v>
      </c>
      <c r="B110" s="3" t="s">
        <v>74</v>
      </c>
      <c r="C110" s="3" t="s">
        <v>16</v>
      </c>
      <c r="D110" s="3" t="n">
        <v>29</v>
      </c>
    </row>
    <row r="111" customFormat="false" ht="15" hidden="false" customHeight="false" outlineLevel="0" collapsed="false">
      <c r="A111" s="2" t="n">
        <v>46223</v>
      </c>
      <c r="B111" s="3" t="s">
        <v>75</v>
      </c>
      <c r="C111" s="3" t="s">
        <v>11</v>
      </c>
      <c r="D111" s="3" t="n">
        <v>3061</v>
      </c>
    </row>
    <row r="112" customFormat="false" ht="15" hidden="false" customHeight="false" outlineLevel="0" collapsed="false">
      <c r="A112" s="2" t="n">
        <v>46223</v>
      </c>
      <c r="B112" s="3" t="s">
        <v>76</v>
      </c>
      <c r="C112" s="3" t="s">
        <v>11</v>
      </c>
      <c r="D112" s="3" t="n">
        <v>1354</v>
      </c>
    </row>
    <row r="113" customFormat="false" ht="15" hidden="false" customHeight="false" outlineLevel="0" collapsed="false">
      <c r="A113" s="2" t="n">
        <v>46223</v>
      </c>
      <c r="B113" s="3" t="s">
        <v>77</v>
      </c>
      <c r="C113" s="3" t="s">
        <v>21</v>
      </c>
      <c r="D113" s="3" t="n">
        <v>7</v>
      </c>
    </row>
    <row r="114" customFormat="false" ht="15" hidden="false" customHeight="false" outlineLevel="0" collapsed="false">
      <c r="A114" s="2" t="n">
        <v>46223</v>
      </c>
      <c r="B114" s="3" t="s">
        <v>77</v>
      </c>
      <c r="C114" s="3" t="s">
        <v>23</v>
      </c>
      <c r="D114" s="3" t="n">
        <v>172</v>
      </c>
    </row>
    <row r="115" customFormat="false" ht="15" hidden="false" customHeight="false" outlineLevel="0" collapsed="false">
      <c r="A115" s="2" t="n">
        <v>46223</v>
      </c>
      <c r="B115" s="3" t="s">
        <v>77</v>
      </c>
      <c r="C115" s="3" t="s">
        <v>35</v>
      </c>
      <c r="D115" s="3" t="n">
        <v>1762</v>
      </c>
    </row>
    <row r="116" customFormat="false" ht="15" hidden="false" customHeight="false" outlineLevel="0" collapsed="false">
      <c r="A116" s="2" t="n">
        <v>46223</v>
      </c>
      <c r="B116" s="3" t="s">
        <v>77</v>
      </c>
      <c r="C116" s="3" t="s">
        <v>24</v>
      </c>
      <c r="D116" s="3" t="n">
        <v>4</v>
      </c>
    </row>
    <row r="117" customFormat="false" ht="15" hidden="false" customHeight="false" outlineLevel="0" collapsed="false">
      <c r="A117" s="2" t="n">
        <v>46223</v>
      </c>
      <c r="B117" s="3" t="s">
        <v>77</v>
      </c>
      <c r="C117" s="3" t="s">
        <v>78</v>
      </c>
      <c r="D117" s="3" t="n">
        <v>610</v>
      </c>
    </row>
    <row r="118" customFormat="false" ht="15" hidden="false" customHeight="false" outlineLevel="0" collapsed="false">
      <c r="A118" s="2" t="n">
        <v>46223</v>
      </c>
      <c r="B118" s="3" t="s">
        <v>79</v>
      </c>
      <c r="C118" s="3" t="s">
        <v>14</v>
      </c>
      <c r="D118" s="3" t="n">
        <v>1</v>
      </c>
    </row>
    <row r="119" customFormat="false" ht="15" hidden="false" customHeight="false" outlineLevel="0" collapsed="false">
      <c r="A119" s="2" t="n">
        <v>46223</v>
      </c>
      <c r="B119" s="3" t="s">
        <v>80</v>
      </c>
      <c r="C119" s="3" t="s">
        <v>14</v>
      </c>
      <c r="D119" s="3" t="n">
        <v>67</v>
      </c>
    </row>
    <row r="120" customFormat="false" ht="15" hidden="false" customHeight="false" outlineLevel="0" collapsed="false">
      <c r="A120" s="2" t="n">
        <v>46223</v>
      </c>
      <c r="B120" s="3" t="s">
        <v>80</v>
      </c>
      <c r="C120" s="3" t="s">
        <v>40</v>
      </c>
      <c r="D120" s="3" t="n">
        <v>88</v>
      </c>
    </row>
    <row r="121" customFormat="false" ht="15" hidden="false" customHeight="false" outlineLevel="0" collapsed="false">
      <c r="A121" s="2" t="n">
        <v>46223</v>
      </c>
      <c r="B121" s="3" t="s">
        <v>81</v>
      </c>
      <c r="C121" s="3" t="s">
        <v>40</v>
      </c>
      <c r="D121" s="3" t="n">
        <v>3398</v>
      </c>
    </row>
    <row r="122" customFormat="false" ht="15" hidden="false" customHeight="false" outlineLevel="0" collapsed="false">
      <c r="A122" s="2" t="n">
        <v>46223</v>
      </c>
      <c r="B122" s="3" t="s">
        <v>82</v>
      </c>
      <c r="C122" s="3" t="s">
        <v>16</v>
      </c>
      <c r="D122" s="3" t="n">
        <v>26</v>
      </c>
    </row>
    <row r="123" customFormat="false" ht="15" hidden="false" customHeight="false" outlineLevel="0" collapsed="false">
      <c r="A123" s="2" t="n">
        <v>46223</v>
      </c>
      <c r="B123" s="3" t="s">
        <v>83</v>
      </c>
      <c r="C123" s="3" t="s">
        <v>16</v>
      </c>
      <c r="D123" s="3" t="n">
        <v>31</v>
      </c>
    </row>
    <row r="124" customFormat="false" ht="15" hidden="false" customHeight="false" outlineLevel="0" collapsed="false">
      <c r="A124" s="2" t="n">
        <v>46223</v>
      </c>
      <c r="B124" s="3" t="s">
        <v>84</v>
      </c>
      <c r="C124" s="3" t="s">
        <v>11</v>
      </c>
      <c r="D124" s="3" t="n">
        <v>9888</v>
      </c>
    </row>
    <row r="125" customFormat="false" ht="15" hidden="false" customHeight="false" outlineLevel="0" collapsed="false">
      <c r="A125" s="2" t="n">
        <v>46223</v>
      </c>
      <c r="B125" s="3" t="s">
        <v>85</v>
      </c>
      <c r="C125" s="3" t="s">
        <v>86</v>
      </c>
      <c r="D125" s="3" t="n">
        <v>2</v>
      </c>
    </row>
    <row r="126" customFormat="false" ht="15" hidden="false" customHeight="false" outlineLevel="0" collapsed="false">
      <c r="A126" s="2" t="n">
        <v>46223</v>
      </c>
      <c r="B126" s="3" t="s">
        <v>85</v>
      </c>
      <c r="C126" s="3" t="s">
        <v>87</v>
      </c>
      <c r="D126" s="3" t="n">
        <v>3</v>
      </c>
    </row>
    <row r="127" customFormat="false" ht="15" hidden="false" customHeight="false" outlineLevel="0" collapsed="false">
      <c r="A127" s="2" t="n">
        <v>46223</v>
      </c>
      <c r="B127" s="3" t="s">
        <v>85</v>
      </c>
      <c r="C127" s="3" t="s">
        <v>88</v>
      </c>
      <c r="D127" s="3" t="n">
        <v>1</v>
      </c>
    </row>
    <row r="128" customFormat="false" ht="15" hidden="false" customHeight="false" outlineLevel="0" collapsed="false">
      <c r="A128" s="2" t="n">
        <v>46223</v>
      </c>
      <c r="B128" s="3" t="s">
        <v>85</v>
      </c>
      <c r="C128" s="3" t="s">
        <v>89</v>
      </c>
      <c r="D128" s="3" t="n">
        <v>1</v>
      </c>
    </row>
    <row r="129" customFormat="false" ht="15" hidden="false" customHeight="false" outlineLevel="0" collapsed="false">
      <c r="A129" s="2" t="n">
        <v>46223</v>
      </c>
      <c r="B129" s="3" t="s">
        <v>85</v>
      </c>
      <c r="C129" s="3" t="s">
        <v>90</v>
      </c>
      <c r="D129" s="3" t="n">
        <v>1</v>
      </c>
    </row>
    <row r="130" customFormat="false" ht="15" hidden="false" customHeight="false" outlineLevel="0" collapsed="false">
      <c r="A130" s="2" t="n">
        <v>46223</v>
      </c>
      <c r="B130" s="3" t="s">
        <v>85</v>
      </c>
      <c r="C130" s="3" t="s">
        <v>91</v>
      </c>
      <c r="D130" s="3" t="n">
        <v>3</v>
      </c>
    </row>
    <row r="131" customFormat="false" ht="15" hidden="false" customHeight="false" outlineLevel="0" collapsed="false">
      <c r="A131" s="2" t="n">
        <v>46223</v>
      </c>
      <c r="B131" s="3" t="s">
        <v>92</v>
      </c>
      <c r="C131" s="3" t="s">
        <v>40</v>
      </c>
      <c r="D131" s="3" t="n">
        <v>10</v>
      </c>
    </row>
    <row r="132" customFormat="false" ht="15" hidden="false" customHeight="false" outlineLevel="0" collapsed="false">
      <c r="A132" s="2" t="n">
        <v>46223</v>
      </c>
      <c r="B132" s="3" t="s">
        <v>92</v>
      </c>
      <c r="C132" s="3" t="s">
        <v>11</v>
      </c>
      <c r="D132" s="3" t="n">
        <v>1</v>
      </c>
    </row>
    <row r="133" customFormat="false" ht="15" hidden="false" customHeight="false" outlineLevel="0" collapsed="false">
      <c r="A133" s="2" t="n">
        <v>46223</v>
      </c>
      <c r="B133" s="3" t="s">
        <v>93</v>
      </c>
      <c r="C133" s="3" t="s">
        <v>9</v>
      </c>
      <c r="D133" s="3" t="n">
        <v>10</v>
      </c>
    </row>
    <row r="134" customFormat="false" ht="15" hidden="false" customHeight="false" outlineLevel="0" collapsed="false">
      <c r="A134" s="2" t="n">
        <v>46223</v>
      </c>
      <c r="B134" s="3" t="s">
        <v>94</v>
      </c>
      <c r="C134" s="3" t="s">
        <v>11</v>
      </c>
      <c r="D134" s="3" t="n">
        <v>98</v>
      </c>
    </row>
    <row r="135" customFormat="false" ht="15" hidden="false" customHeight="false" outlineLevel="0" collapsed="false">
      <c r="A135" s="2" t="n">
        <v>46223</v>
      </c>
      <c r="B135" s="3" t="s">
        <v>95</v>
      </c>
      <c r="C135" s="3" t="s">
        <v>11</v>
      </c>
      <c r="D135" s="3" t="n">
        <v>88</v>
      </c>
    </row>
    <row r="136" customFormat="false" ht="15" hidden="false" customHeight="false" outlineLevel="0" collapsed="false">
      <c r="A136" s="2" t="n">
        <v>46223</v>
      </c>
      <c r="B136" s="3" t="s">
        <v>96</v>
      </c>
      <c r="C136" s="3" t="s">
        <v>40</v>
      </c>
      <c r="D136" s="3" t="n">
        <v>93</v>
      </c>
    </row>
    <row r="137" customFormat="false" ht="15" hidden="false" customHeight="false" outlineLevel="0" collapsed="false">
      <c r="A137" s="2" t="n">
        <v>46223</v>
      </c>
      <c r="B137" s="3" t="s">
        <v>97</v>
      </c>
      <c r="C137" s="3" t="s">
        <v>98</v>
      </c>
      <c r="D137" s="3" t="n">
        <v>7</v>
      </c>
    </row>
    <row r="138" customFormat="false" ht="15" hidden="false" customHeight="false" outlineLevel="0" collapsed="false">
      <c r="A138" s="2" t="n">
        <v>46223</v>
      </c>
      <c r="B138" s="3" t="s">
        <v>97</v>
      </c>
      <c r="C138" s="3" t="s">
        <v>99</v>
      </c>
      <c r="D138" s="3" t="n">
        <v>8</v>
      </c>
    </row>
    <row r="139" customFormat="false" ht="15" hidden="false" customHeight="false" outlineLevel="0" collapsed="false">
      <c r="A139" s="2" t="n">
        <v>46223</v>
      </c>
      <c r="B139" s="3" t="s">
        <v>97</v>
      </c>
      <c r="C139" s="3" t="s">
        <v>100</v>
      </c>
      <c r="D139" s="3" t="n">
        <v>36</v>
      </c>
    </row>
    <row r="140" customFormat="false" ht="15" hidden="false" customHeight="false" outlineLevel="0" collapsed="false">
      <c r="A140" s="2" t="n">
        <v>46223</v>
      </c>
      <c r="B140" s="3" t="s">
        <v>97</v>
      </c>
      <c r="C140" s="3" t="s">
        <v>101</v>
      </c>
      <c r="D140" s="3" t="n">
        <v>22</v>
      </c>
    </row>
    <row r="141" customFormat="false" ht="15" hidden="false" customHeight="false" outlineLevel="0" collapsed="false">
      <c r="A141" s="2" t="n">
        <v>46223</v>
      </c>
      <c r="B141" s="3" t="s">
        <v>97</v>
      </c>
      <c r="C141" s="3" t="s">
        <v>102</v>
      </c>
      <c r="D141" s="3" t="n">
        <v>7</v>
      </c>
    </row>
    <row r="142" customFormat="false" ht="15" hidden="false" customHeight="false" outlineLevel="0" collapsed="false">
      <c r="A142" s="2" t="n">
        <v>46223</v>
      </c>
      <c r="B142" s="3" t="s">
        <v>103</v>
      </c>
      <c r="C142" s="3" t="s">
        <v>16</v>
      </c>
      <c r="D142" s="3" t="n">
        <v>8</v>
      </c>
    </row>
    <row r="143" customFormat="false" ht="15" hidden="false" customHeight="false" outlineLevel="0" collapsed="false">
      <c r="A143" s="2" t="n">
        <v>46223</v>
      </c>
      <c r="B143" s="3" t="s">
        <v>104</v>
      </c>
      <c r="C143" s="3" t="s">
        <v>16</v>
      </c>
      <c r="D143" s="3" t="n">
        <v>92</v>
      </c>
    </row>
    <row r="144" customFormat="false" ht="15" hidden="false" customHeight="false" outlineLevel="0" collapsed="false">
      <c r="A144" s="2" t="n">
        <v>46223</v>
      </c>
      <c r="B144" s="3" t="s">
        <v>105</v>
      </c>
      <c r="C144" s="3" t="s">
        <v>11</v>
      </c>
      <c r="D144" s="3" t="n">
        <v>1871</v>
      </c>
    </row>
    <row r="145" customFormat="false" ht="15" hidden="false" customHeight="false" outlineLevel="0" collapsed="false">
      <c r="A145" s="2" t="n">
        <v>46223</v>
      </c>
      <c r="B145" s="3" t="s">
        <v>106</v>
      </c>
      <c r="C145" s="3" t="s">
        <v>16</v>
      </c>
      <c r="D145" s="3" t="n">
        <v>484</v>
      </c>
    </row>
    <row r="146" customFormat="false" ht="15" hidden="false" customHeight="false" outlineLevel="0" collapsed="false">
      <c r="A146" s="2" t="n">
        <v>46223</v>
      </c>
      <c r="B146" s="3" t="s">
        <v>107</v>
      </c>
      <c r="C146" s="3" t="s">
        <v>11</v>
      </c>
      <c r="D146" s="3" t="n">
        <v>4</v>
      </c>
    </row>
    <row r="147" customFormat="false" ht="15" hidden="false" customHeight="false" outlineLevel="0" collapsed="false">
      <c r="A147" s="2" t="n">
        <v>46224</v>
      </c>
      <c r="B147" s="3"/>
      <c r="C147" s="3"/>
      <c r="D147" s="3" t="n">
        <v>1</v>
      </c>
    </row>
    <row r="148" customFormat="false" ht="15" hidden="false" customHeight="false" outlineLevel="0" collapsed="false">
      <c r="A148" s="2" t="n">
        <v>46224</v>
      </c>
      <c r="B148" s="3" t="s">
        <v>4</v>
      </c>
      <c r="C148" s="3" t="s">
        <v>5</v>
      </c>
      <c r="D148" s="3" t="n">
        <v>7</v>
      </c>
    </row>
    <row r="149" customFormat="false" ht="15" hidden="false" customHeight="false" outlineLevel="0" collapsed="false">
      <c r="A149" s="2" t="n">
        <v>46224</v>
      </c>
      <c r="B149" s="3" t="s">
        <v>4</v>
      </c>
      <c r="C149" s="3" t="s">
        <v>6</v>
      </c>
      <c r="D149" s="3" t="n">
        <v>3</v>
      </c>
    </row>
    <row r="150" customFormat="false" ht="15" hidden="false" customHeight="false" outlineLevel="0" collapsed="false">
      <c r="A150" s="2" t="n">
        <v>46224</v>
      </c>
      <c r="B150" s="3" t="s">
        <v>4</v>
      </c>
      <c r="C150" s="3" t="s">
        <v>7</v>
      </c>
      <c r="D150" s="3" t="n">
        <v>1</v>
      </c>
    </row>
    <row r="151" customFormat="false" ht="15" hidden="false" customHeight="false" outlineLevel="0" collapsed="false">
      <c r="A151" s="2" t="n">
        <v>46224</v>
      </c>
      <c r="B151" s="3" t="s">
        <v>4</v>
      </c>
      <c r="C151" s="3" t="s">
        <v>8</v>
      </c>
      <c r="D151" s="3" t="n">
        <v>460</v>
      </c>
    </row>
    <row r="152" customFormat="false" ht="15" hidden="false" customHeight="false" outlineLevel="0" collapsed="false">
      <c r="A152" s="2" t="n">
        <v>46224</v>
      </c>
      <c r="B152" s="3" t="s">
        <v>10</v>
      </c>
      <c r="C152" s="3" t="s">
        <v>11</v>
      </c>
      <c r="D152" s="3" t="n">
        <v>5</v>
      </c>
    </row>
    <row r="153" customFormat="false" ht="15" hidden="false" customHeight="false" outlineLevel="0" collapsed="false">
      <c r="A153" s="2" t="n">
        <v>46224</v>
      </c>
      <c r="B153" s="3" t="s">
        <v>12</v>
      </c>
      <c r="C153" s="3" t="s">
        <v>13</v>
      </c>
      <c r="D153" s="3" t="n">
        <v>118085</v>
      </c>
    </row>
    <row r="154" customFormat="false" ht="15" hidden="false" customHeight="false" outlineLevel="0" collapsed="false">
      <c r="A154" s="2" t="n">
        <v>46224</v>
      </c>
      <c r="B154" s="3" t="s">
        <v>12</v>
      </c>
      <c r="C154" s="3" t="s">
        <v>14</v>
      </c>
      <c r="D154" s="3" t="n">
        <v>4</v>
      </c>
    </row>
    <row r="155" customFormat="false" ht="15" hidden="false" customHeight="false" outlineLevel="0" collapsed="false">
      <c r="A155" s="2" t="n">
        <v>46224</v>
      </c>
      <c r="B155" s="3" t="s">
        <v>15</v>
      </c>
      <c r="C155" s="3" t="s">
        <v>16</v>
      </c>
      <c r="D155" s="3" t="n">
        <v>21</v>
      </c>
    </row>
    <row r="156" customFormat="false" ht="15" hidden="false" customHeight="false" outlineLevel="0" collapsed="false">
      <c r="A156" s="2" t="n">
        <v>46224</v>
      </c>
      <c r="B156" s="3" t="s">
        <v>17</v>
      </c>
      <c r="C156" s="3" t="s">
        <v>16</v>
      </c>
      <c r="D156" s="3" t="n">
        <v>107</v>
      </c>
    </row>
    <row r="157" customFormat="false" ht="15" hidden="false" customHeight="false" outlineLevel="0" collapsed="false">
      <c r="A157" s="2" t="n">
        <v>46224</v>
      </c>
      <c r="B157" s="3" t="s">
        <v>18</v>
      </c>
      <c r="C157" s="3" t="s">
        <v>11</v>
      </c>
      <c r="D157" s="3" t="n">
        <v>353</v>
      </c>
    </row>
    <row r="158" customFormat="false" ht="15" hidden="false" customHeight="false" outlineLevel="0" collapsed="false">
      <c r="A158" s="2" t="n">
        <v>46224</v>
      </c>
      <c r="B158" s="3" t="s">
        <v>19</v>
      </c>
      <c r="C158" s="3" t="s">
        <v>23</v>
      </c>
      <c r="D158" s="3" t="n">
        <v>146</v>
      </c>
    </row>
    <row r="159" customFormat="false" ht="15" hidden="false" customHeight="false" outlineLevel="0" collapsed="false">
      <c r="A159" s="2" t="n">
        <v>46224</v>
      </c>
      <c r="B159" s="3" t="s">
        <v>19</v>
      </c>
      <c r="C159" s="3" t="s">
        <v>24</v>
      </c>
      <c r="D159" s="3" t="n">
        <v>132</v>
      </c>
    </row>
    <row r="160" customFormat="false" ht="15" hidden="false" customHeight="false" outlineLevel="0" collapsed="false">
      <c r="A160" s="2" t="n">
        <v>46224</v>
      </c>
      <c r="B160" s="3" t="s">
        <v>19</v>
      </c>
      <c r="C160" s="3" t="s">
        <v>20</v>
      </c>
      <c r="D160" s="3" t="n">
        <v>59</v>
      </c>
    </row>
    <row r="161" customFormat="false" ht="15" hidden="false" customHeight="false" outlineLevel="0" collapsed="false">
      <c r="A161" s="2" t="n">
        <v>46224</v>
      </c>
      <c r="B161" s="3" t="s">
        <v>19</v>
      </c>
      <c r="C161" s="3" t="s">
        <v>21</v>
      </c>
      <c r="D161" s="3" t="n">
        <v>131</v>
      </c>
    </row>
    <row r="162" customFormat="false" ht="15" hidden="false" customHeight="false" outlineLevel="0" collapsed="false">
      <c r="A162" s="2" t="n">
        <v>46224</v>
      </c>
      <c r="B162" s="3" t="s">
        <v>19</v>
      </c>
      <c r="C162" s="3" t="s">
        <v>22</v>
      </c>
      <c r="D162" s="3" t="n">
        <v>1</v>
      </c>
    </row>
    <row r="163" customFormat="false" ht="15" hidden="false" customHeight="false" outlineLevel="0" collapsed="false">
      <c r="A163" s="2" t="n">
        <v>46224</v>
      </c>
      <c r="B163" s="3" t="s">
        <v>25</v>
      </c>
      <c r="C163" s="3" t="s">
        <v>11</v>
      </c>
      <c r="D163" s="3" t="n">
        <v>2383</v>
      </c>
    </row>
    <row r="164" customFormat="false" ht="15" hidden="false" customHeight="false" outlineLevel="0" collapsed="false">
      <c r="A164" s="2" t="n">
        <v>46224</v>
      </c>
      <c r="B164" s="3" t="s">
        <v>25</v>
      </c>
      <c r="C164" s="3" t="s">
        <v>14</v>
      </c>
      <c r="D164" s="3" t="n">
        <v>144</v>
      </c>
    </row>
    <row r="165" customFormat="false" ht="15" hidden="false" customHeight="false" outlineLevel="0" collapsed="false">
      <c r="A165" s="2" t="n">
        <v>46224</v>
      </c>
      <c r="B165" s="3" t="s">
        <v>25</v>
      </c>
      <c r="C165" s="3" t="s">
        <v>26</v>
      </c>
      <c r="D165" s="3" t="n">
        <v>73</v>
      </c>
    </row>
    <row r="166" customFormat="false" ht="15" hidden="false" customHeight="false" outlineLevel="0" collapsed="false">
      <c r="A166" s="2" t="n">
        <v>46224</v>
      </c>
      <c r="B166" s="3" t="s">
        <v>27</v>
      </c>
      <c r="C166" s="3" t="s">
        <v>28</v>
      </c>
      <c r="D166" s="3" t="n">
        <v>76</v>
      </c>
    </row>
    <row r="167" customFormat="false" ht="15" hidden="false" customHeight="false" outlineLevel="0" collapsed="false">
      <c r="A167" s="2" t="n">
        <v>46224</v>
      </c>
      <c r="B167" s="3" t="s">
        <v>27</v>
      </c>
      <c r="C167" s="3" t="s">
        <v>14</v>
      </c>
      <c r="D167" s="3" t="n">
        <v>67</v>
      </c>
    </row>
    <row r="168" customFormat="false" ht="15" hidden="false" customHeight="false" outlineLevel="0" collapsed="false">
      <c r="A168" s="2" t="n">
        <v>46224</v>
      </c>
      <c r="B168" s="3" t="s">
        <v>29</v>
      </c>
      <c r="C168" s="3" t="s">
        <v>16</v>
      </c>
      <c r="D168" s="3" t="n">
        <v>203</v>
      </c>
    </row>
    <row r="169" customFormat="false" ht="15" hidden="false" customHeight="false" outlineLevel="0" collapsed="false">
      <c r="A169" s="2" t="n">
        <v>46224</v>
      </c>
      <c r="B169" s="3" t="s">
        <v>30</v>
      </c>
      <c r="C169" s="3" t="s">
        <v>11</v>
      </c>
      <c r="D169" s="3" t="n">
        <v>11</v>
      </c>
    </row>
    <row r="170" customFormat="false" ht="15" hidden="false" customHeight="false" outlineLevel="0" collapsed="false">
      <c r="A170" s="2" t="n">
        <v>46224</v>
      </c>
      <c r="B170" s="3" t="s">
        <v>31</v>
      </c>
      <c r="C170" s="3" t="s">
        <v>32</v>
      </c>
      <c r="D170" s="3" t="n">
        <v>153</v>
      </c>
    </row>
    <row r="171" customFormat="false" ht="15" hidden="false" customHeight="false" outlineLevel="0" collapsed="false">
      <c r="A171" s="2" t="n">
        <v>46224</v>
      </c>
      <c r="B171" s="3" t="s">
        <v>31</v>
      </c>
      <c r="C171" s="3" t="s">
        <v>33</v>
      </c>
      <c r="D171" s="3" t="n">
        <v>2994</v>
      </c>
    </row>
    <row r="172" customFormat="false" ht="15" hidden="false" customHeight="false" outlineLevel="0" collapsed="false">
      <c r="A172" s="2" t="n">
        <v>46224</v>
      </c>
      <c r="B172" s="3" t="s">
        <v>31</v>
      </c>
      <c r="C172" s="3" t="s">
        <v>34</v>
      </c>
      <c r="D172" s="3" t="n">
        <v>2841</v>
      </c>
    </row>
    <row r="173" customFormat="false" ht="15" hidden="false" customHeight="false" outlineLevel="0" collapsed="false">
      <c r="A173" s="2" t="n">
        <v>46224</v>
      </c>
      <c r="B173" s="3" t="s">
        <v>31</v>
      </c>
      <c r="C173" s="3" t="s">
        <v>20</v>
      </c>
      <c r="D173" s="3" t="n">
        <v>374</v>
      </c>
    </row>
    <row r="174" customFormat="false" ht="15" hidden="false" customHeight="false" outlineLevel="0" collapsed="false">
      <c r="A174" s="2" t="n">
        <v>46224</v>
      </c>
      <c r="B174" s="3" t="s">
        <v>31</v>
      </c>
      <c r="C174" s="3" t="s">
        <v>22</v>
      </c>
      <c r="D174" s="3" t="n">
        <v>65</v>
      </c>
    </row>
    <row r="175" customFormat="false" ht="15" hidden="false" customHeight="false" outlineLevel="0" collapsed="false">
      <c r="A175" s="2" t="n">
        <v>46224</v>
      </c>
      <c r="B175" s="3" t="s">
        <v>31</v>
      </c>
      <c r="C175" s="3" t="s">
        <v>23</v>
      </c>
      <c r="D175" s="3" t="n">
        <v>260</v>
      </c>
    </row>
    <row r="176" customFormat="false" ht="15" hidden="false" customHeight="false" outlineLevel="0" collapsed="false">
      <c r="A176" s="2" t="n">
        <v>46224</v>
      </c>
      <c r="B176" s="3" t="s">
        <v>31</v>
      </c>
      <c r="C176" s="3" t="s">
        <v>35</v>
      </c>
      <c r="D176" s="3" t="n">
        <v>330</v>
      </c>
    </row>
    <row r="177" customFormat="false" ht="15" hidden="false" customHeight="false" outlineLevel="0" collapsed="false">
      <c r="A177" s="2" t="n">
        <v>46224</v>
      </c>
      <c r="B177" s="3" t="s">
        <v>31</v>
      </c>
      <c r="C177" s="3" t="s">
        <v>24</v>
      </c>
      <c r="D177" s="3" t="n">
        <v>4</v>
      </c>
    </row>
    <row r="178" customFormat="false" ht="15" hidden="false" customHeight="false" outlineLevel="0" collapsed="false">
      <c r="A178" s="2" t="n">
        <v>46224</v>
      </c>
      <c r="B178" s="3" t="s">
        <v>36</v>
      </c>
      <c r="C178" s="3" t="s">
        <v>14</v>
      </c>
      <c r="D178" s="3" t="n">
        <v>5</v>
      </c>
    </row>
    <row r="179" customFormat="false" ht="15" hidden="false" customHeight="false" outlineLevel="0" collapsed="false">
      <c r="A179" s="2" t="n">
        <v>46224</v>
      </c>
      <c r="B179" s="3" t="s">
        <v>36</v>
      </c>
      <c r="C179" s="3" t="s">
        <v>40</v>
      </c>
      <c r="D179" s="3" t="n">
        <v>3</v>
      </c>
    </row>
    <row r="180" customFormat="false" ht="15" hidden="false" customHeight="false" outlineLevel="0" collapsed="false">
      <c r="A180" s="2" t="n">
        <v>46224</v>
      </c>
      <c r="B180" s="3" t="s">
        <v>36</v>
      </c>
      <c r="C180" s="3" t="s">
        <v>11</v>
      </c>
      <c r="D180" s="3" t="n">
        <v>23944</v>
      </c>
    </row>
    <row r="181" customFormat="false" ht="15" hidden="false" customHeight="false" outlineLevel="0" collapsed="false">
      <c r="A181" s="2" t="n">
        <v>46224</v>
      </c>
      <c r="B181" s="3" t="s">
        <v>36</v>
      </c>
      <c r="C181" s="3" t="s">
        <v>37</v>
      </c>
      <c r="D181" s="3" t="n">
        <v>825</v>
      </c>
    </row>
    <row r="182" customFormat="false" ht="15" hidden="false" customHeight="false" outlineLevel="0" collapsed="false">
      <c r="A182" s="2" t="n">
        <v>46224</v>
      </c>
      <c r="B182" s="3" t="s">
        <v>36</v>
      </c>
      <c r="C182" s="3" t="s">
        <v>38</v>
      </c>
      <c r="D182" s="3" t="n">
        <v>825</v>
      </c>
    </row>
    <row r="183" customFormat="false" ht="15" hidden="false" customHeight="false" outlineLevel="0" collapsed="false">
      <c r="A183" s="2" t="n">
        <v>46224</v>
      </c>
      <c r="B183" s="3" t="s">
        <v>36</v>
      </c>
      <c r="C183" s="3" t="s">
        <v>39</v>
      </c>
      <c r="D183" s="3" t="n">
        <v>522</v>
      </c>
    </row>
    <row r="184" customFormat="false" ht="15" hidden="false" customHeight="false" outlineLevel="0" collapsed="false">
      <c r="A184" s="2" t="n">
        <v>46224</v>
      </c>
      <c r="B184" s="3" t="s">
        <v>41</v>
      </c>
      <c r="C184" s="3" t="s">
        <v>26</v>
      </c>
      <c r="D184" s="3" t="n">
        <v>150</v>
      </c>
    </row>
    <row r="185" customFormat="false" ht="15" hidden="false" customHeight="false" outlineLevel="0" collapsed="false">
      <c r="A185" s="2" t="n">
        <v>46224</v>
      </c>
      <c r="B185" s="3" t="s">
        <v>41</v>
      </c>
      <c r="C185" s="3" t="s">
        <v>38</v>
      </c>
      <c r="D185" s="3" t="n">
        <v>281</v>
      </c>
    </row>
    <row r="186" customFormat="false" ht="15" hidden="false" customHeight="false" outlineLevel="0" collapsed="false">
      <c r="A186" s="2" t="n">
        <v>46224</v>
      </c>
      <c r="B186" s="3" t="s">
        <v>41</v>
      </c>
      <c r="C186" s="3" t="s">
        <v>28</v>
      </c>
      <c r="D186" s="3" t="n">
        <v>141</v>
      </c>
    </row>
    <row r="187" customFormat="false" ht="15" hidden="false" customHeight="false" outlineLevel="0" collapsed="false">
      <c r="A187" s="2" t="n">
        <v>46224</v>
      </c>
      <c r="B187" s="3" t="s">
        <v>41</v>
      </c>
      <c r="C187" s="3" t="s">
        <v>39</v>
      </c>
      <c r="D187" s="3" t="n">
        <v>215</v>
      </c>
    </row>
    <row r="188" customFormat="false" ht="15" hidden="false" customHeight="false" outlineLevel="0" collapsed="false">
      <c r="A188" s="2" t="n">
        <v>46224</v>
      </c>
      <c r="B188" s="3" t="s">
        <v>41</v>
      </c>
      <c r="C188" s="3" t="s">
        <v>14</v>
      </c>
      <c r="D188" s="3" t="n">
        <v>8</v>
      </c>
    </row>
    <row r="189" customFormat="false" ht="15" hidden="false" customHeight="false" outlineLevel="0" collapsed="false">
      <c r="A189" s="2" t="n">
        <v>46224</v>
      </c>
      <c r="B189" s="3" t="s">
        <v>41</v>
      </c>
      <c r="C189" s="3" t="s">
        <v>42</v>
      </c>
      <c r="D189" s="3" t="n">
        <v>1</v>
      </c>
    </row>
    <row r="190" customFormat="false" ht="15" hidden="false" customHeight="false" outlineLevel="0" collapsed="false">
      <c r="A190" s="2" t="n">
        <v>46224</v>
      </c>
      <c r="B190" s="3" t="s">
        <v>41</v>
      </c>
      <c r="C190" s="3" t="s">
        <v>11</v>
      </c>
      <c r="D190" s="3" t="n">
        <v>1004</v>
      </c>
    </row>
    <row r="191" customFormat="false" ht="15" hidden="false" customHeight="false" outlineLevel="0" collapsed="false">
      <c r="A191" s="2" t="n">
        <v>46224</v>
      </c>
      <c r="B191" s="3" t="s">
        <v>43</v>
      </c>
      <c r="C191" s="3" t="s">
        <v>16</v>
      </c>
      <c r="D191" s="3" t="n">
        <v>99</v>
      </c>
    </row>
    <row r="192" customFormat="false" ht="15" hidden="false" customHeight="false" outlineLevel="0" collapsed="false">
      <c r="A192" s="2" t="n">
        <v>46224</v>
      </c>
      <c r="B192" s="3" t="s">
        <v>44</v>
      </c>
      <c r="C192" s="3" t="s">
        <v>16</v>
      </c>
      <c r="D192" s="3" t="n">
        <v>4</v>
      </c>
    </row>
    <row r="193" customFormat="false" ht="15" hidden="false" customHeight="false" outlineLevel="0" collapsed="false">
      <c r="A193" s="2" t="n">
        <v>46224</v>
      </c>
      <c r="B193" s="3" t="s">
        <v>46</v>
      </c>
      <c r="C193" s="3" t="s">
        <v>16</v>
      </c>
      <c r="D193" s="3" t="n">
        <v>7777</v>
      </c>
    </row>
    <row r="194" customFormat="false" ht="15" hidden="false" customHeight="false" outlineLevel="0" collapsed="false">
      <c r="A194" s="2" t="n">
        <v>46224</v>
      </c>
      <c r="B194" s="3" t="s">
        <v>47</v>
      </c>
      <c r="C194" s="3" t="s">
        <v>16</v>
      </c>
      <c r="D194" s="3" t="n">
        <v>70</v>
      </c>
    </row>
    <row r="195" customFormat="false" ht="15" hidden="false" customHeight="false" outlineLevel="0" collapsed="false">
      <c r="A195" s="2" t="n">
        <v>46224</v>
      </c>
      <c r="B195" s="3" t="s">
        <v>48</v>
      </c>
      <c r="C195" s="3" t="s">
        <v>38</v>
      </c>
      <c r="D195" s="3" t="n">
        <v>13</v>
      </c>
    </row>
    <row r="196" customFormat="false" ht="15" hidden="false" customHeight="false" outlineLevel="0" collapsed="false">
      <c r="A196" s="2" t="n">
        <v>46224</v>
      </c>
      <c r="B196" s="3" t="s">
        <v>48</v>
      </c>
      <c r="C196" s="3" t="s">
        <v>39</v>
      </c>
      <c r="D196" s="3" t="n">
        <v>7</v>
      </c>
    </row>
    <row r="197" customFormat="false" ht="15" hidden="false" customHeight="false" outlineLevel="0" collapsed="false">
      <c r="A197" s="2" t="n">
        <v>46224</v>
      </c>
      <c r="B197" s="3" t="s">
        <v>48</v>
      </c>
      <c r="C197" s="3" t="s">
        <v>14</v>
      </c>
      <c r="D197" s="3" t="n">
        <v>13</v>
      </c>
    </row>
    <row r="198" customFormat="false" ht="15" hidden="false" customHeight="false" outlineLevel="0" collapsed="false">
      <c r="A198" s="2" t="n">
        <v>46224</v>
      </c>
      <c r="B198" s="3" t="s">
        <v>49</v>
      </c>
      <c r="C198" s="3" t="s">
        <v>40</v>
      </c>
      <c r="D198" s="3" t="n">
        <v>14156</v>
      </c>
    </row>
    <row r="199" customFormat="false" ht="15" hidden="false" customHeight="false" outlineLevel="0" collapsed="false">
      <c r="A199" s="2" t="n">
        <v>46224</v>
      </c>
      <c r="B199" s="3" t="s">
        <v>50</v>
      </c>
      <c r="C199" s="3" t="s">
        <v>40</v>
      </c>
      <c r="D199" s="3" t="n">
        <v>13484</v>
      </c>
    </row>
    <row r="200" customFormat="false" ht="15" hidden="false" customHeight="false" outlineLevel="0" collapsed="false">
      <c r="A200" s="2" t="n">
        <v>46224</v>
      </c>
      <c r="B200" s="3" t="s">
        <v>51</v>
      </c>
      <c r="C200" s="3" t="s">
        <v>32</v>
      </c>
      <c r="D200" s="3" t="n">
        <v>2717</v>
      </c>
    </row>
    <row r="201" customFormat="false" ht="15" hidden="false" customHeight="false" outlineLevel="0" collapsed="false">
      <c r="A201" s="2" t="n">
        <v>46224</v>
      </c>
      <c r="B201" s="3" t="s">
        <v>51</v>
      </c>
      <c r="C201" s="3" t="s">
        <v>33</v>
      </c>
      <c r="D201" s="3" t="n">
        <v>8046</v>
      </c>
    </row>
    <row r="202" customFormat="false" ht="15" hidden="false" customHeight="false" outlineLevel="0" collapsed="false">
      <c r="A202" s="2" t="n">
        <v>46224</v>
      </c>
      <c r="B202" s="3" t="s">
        <v>51</v>
      </c>
      <c r="C202" s="3" t="s">
        <v>34</v>
      </c>
      <c r="D202" s="3" t="n">
        <v>5337</v>
      </c>
    </row>
    <row r="203" customFormat="false" ht="15" hidden="false" customHeight="false" outlineLevel="0" collapsed="false">
      <c r="A203" s="2" t="n">
        <v>46224</v>
      </c>
      <c r="B203" s="3" t="s">
        <v>51</v>
      </c>
      <c r="C203" s="3" t="s">
        <v>20</v>
      </c>
      <c r="D203" s="3" t="n">
        <v>6851</v>
      </c>
    </row>
    <row r="204" customFormat="false" ht="15" hidden="false" customHeight="false" outlineLevel="0" collapsed="false">
      <c r="A204" s="2" t="n">
        <v>46224</v>
      </c>
      <c r="B204" s="3" t="s">
        <v>51</v>
      </c>
      <c r="C204" s="3" t="s">
        <v>22</v>
      </c>
      <c r="D204" s="3" t="n">
        <v>2976</v>
      </c>
    </row>
    <row r="205" customFormat="false" ht="15" hidden="false" customHeight="false" outlineLevel="0" collapsed="false">
      <c r="A205" s="2" t="n">
        <v>46224</v>
      </c>
      <c r="B205" s="3" t="s">
        <v>52</v>
      </c>
      <c r="C205" s="3" t="s">
        <v>11</v>
      </c>
      <c r="D205" s="3" t="n">
        <v>13586</v>
      </c>
    </row>
    <row r="206" customFormat="false" ht="15" hidden="false" customHeight="false" outlineLevel="0" collapsed="false">
      <c r="A206" s="2" t="n">
        <v>46224</v>
      </c>
      <c r="B206" s="3" t="s">
        <v>53</v>
      </c>
      <c r="C206" s="3" t="s">
        <v>14</v>
      </c>
      <c r="D206" s="3" t="n">
        <v>2</v>
      </c>
    </row>
    <row r="207" customFormat="false" ht="15" hidden="false" customHeight="false" outlineLevel="0" collapsed="false">
      <c r="A207" s="2" t="n">
        <v>46224</v>
      </c>
      <c r="B207" s="3" t="s">
        <v>53</v>
      </c>
      <c r="C207" s="3" t="s">
        <v>39</v>
      </c>
      <c r="D207" s="3" t="n">
        <v>605</v>
      </c>
    </row>
    <row r="208" customFormat="false" ht="15" hidden="false" customHeight="false" outlineLevel="0" collapsed="false">
      <c r="A208" s="2" t="n">
        <v>46224</v>
      </c>
      <c r="B208" s="3" t="s">
        <v>54</v>
      </c>
      <c r="C208" s="3" t="s">
        <v>38</v>
      </c>
      <c r="D208" s="3" t="n">
        <v>4586</v>
      </c>
    </row>
    <row r="209" customFormat="false" ht="15" hidden="false" customHeight="false" outlineLevel="0" collapsed="false">
      <c r="A209" s="2" t="n">
        <v>46224</v>
      </c>
      <c r="B209" s="3" t="s">
        <v>54</v>
      </c>
      <c r="C209" s="3" t="s">
        <v>39</v>
      </c>
      <c r="D209" s="3" t="n">
        <v>8261</v>
      </c>
    </row>
    <row r="210" customFormat="false" ht="15" hidden="false" customHeight="false" outlineLevel="0" collapsed="false">
      <c r="A210" s="2" t="n">
        <v>46224</v>
      </c>
      <c r="B210" s="3" t="s">
        <v>54</v>
      </c>
      <c r="C210" s="3" t="s">
        <v>14</v>
      </c>
      <c r="D210" s="3" t="n">
        <v>3</v>
      </c>
    </row>
    <row r="211" customFormat="false" ht="15" hidden="false" customHeight="false" outlineLevel="0" collapsed="false">
      <c r="A211" s="2" t="n">
        <v>46224</v>
      </c>
      <c r="B211" s="3" t="s">
        <v>55</v>
      </c>
      <c r="C211" s="3" t="s">
        <v>40</v>
      </c>
      <c r="D211" s="3" t="n">
        <v>1329</v>
      </c>
    </row>
    <row r="212" customFormat="false" ht="15" hidden="false" customHeight="false" outlineLevel="0" collapsed="false">
      <c r="A212" s="2" t="n">
        <v>46224</v>
      </c>
      <c r="B212" s="3" t="s">
        <v>56</v>
      </c>
      <c r="C212" s="3" t="s">
        <v>14</v>
      </c>
      <c r="D212" s="3" t="n">
        <v>2</v>
      </c>
    </row>
    <row r="213" customFormat="false" ht="15" hidden="false" customHeight="false" outlineLevel="0" collapsed="false">
      <c r="A213" s="2" t="n">
        <v>46224</v>
      </c>
      <c r="B213" s="3" t="s">
        <v>56</v>
      </c>
      <c r="C213" s="3" t="s">
        <v>39</v>
      </c>
      <c r="D213" s="3" t="n">
        <v>995</v>
      </c>
    </row>
    <row r="214" customFormat="false" ht="15" hidden="false" customHeight="false" outlineLevel="0" collapsed="false">
      <c r="A214" s="2" t="n">
        <v>46224</v>
      </c>
      <c r="B214" s="3" t="s">
        <v>57</v>
      </c>
      <c r="C214" s="3" t="s">
        <v>38</v>
      </c>
      <c r="D214" s="3" t="n">
        <v>71</v>
      </c>
    </row>
    <row r="215" customFormat="false" ht="15" hidden="false" customHeight="false" outlineLevel="0" collapsed="false">
      <c r="A215" s="2" t="n">
        <v>46224</v>
      </c>
      <c r="B215" s="3" t="s">
        <v>57</v>
      </c>
      <c r="C215" s="3" t="s">
        <v>39</v>
      </c>
      <c r="D215" s="3" t="n">
        <v>2</v>
      </c>
    </row>
    <row r="216" customFormat="false" ht="15" hidden="false" customHeight="false" outlineLevel="0" collapsed="false">
      <c r="A216" s="2" t="n">
        <v>46224</v>
      </c>
      <c r="B216" s="3" t="s">
        <v>57</v>
      </c>
      <c r="C216" s="3" t="s">
        <v>14</v>
      </c>
      <c r="D216" s="3" t="n">
        <v>2</v>
      </c>
    </row>
    <row r="217" customFormat="false" ht="15" hidden="false" customHeight="false" outlineLevel="0" collapsed="false">
      <c r="A217" s="2" t="n">
        <v>46224</v>
      </c>
      <c r="B217" s="3" t="s">
        <v>58</v>
      </c>
      <c r="C217" s="3" t="s">
        <v>14</v>
      </c>
      <c r="D217" s="3" t="n">
        <v>2</v>
      </c>
    </row>
    <row r="218" customFormat="false" ht="15" hidden="false" customHeight="false" outlineLevel="0" collapsed="false">
      <c r="A218" s="2" t="n">
        <v>46224</v>
      </c>
      <c r="B218" s="3" t="s">
        <v>58</v>
      </c>
      <c r="C218" s="3" t="s">
        <v>39</v>
      </c>
      <c r="D218" s="3" t="n">
        <v>47</v>
      </c>
    </row>
    <row r="219" customFormat="false" ht="15" hidden="false" customHeight="false" outlineLevel="0" collapsed="false">
      <c r="A219" s="2" t="n">
        <v>46224</v>
      </c>
      <c r="B219" s="3" t="s">
        <v>59</v>
      </c>
      <c r="C219" s="3" t="s">
        <v>39</v>
      </c>
      <c r="D219" s="3" t="n">
        <v>6</v>
      </c>
    </row>
    <row r="220" customFormat="false" ht="15" hidden="false" customHeight="false" outlineLevel="0" collapsed="false">
      <c r="A220" s="2" t="n">
        <v>46224</v>
      </c>
      <c r="B220" s="3" t="s">
        <v>59</v>
      </c>
      <c r="C220" s="3" t="s">
        <v>14</v>
      </c>
      <c r="D220" s="3" t="n">
        <v>3</v>
      </c>
    </row>
    <row r="221" customFormat="false" ht="15" hidden="false" customHeight="false" outlineLevel="0" collapsed="false">
      <c r="A221" s="2" t="n">
        <v>46224</v>
      </c>
      <c r="B221" s="3" t="s">
        <v>60</v>
      </c>
      <c r="C221" s="3" t="s">
        <v>14</v>
      </c>
      <c r="D221" s="3" t="n">
        <v>3</v>
      </c>
    </row>
    <row r="222" customFormat="false" ht="15" hidden="false" customHeight="false" outlineLevel="0" collapsed="false">
      <c r="A222" s="2" t="n">
        <v>46224</v>
      </c>
      <c r="B222" s="3" t="s">
        <v>60</v>
      </c>
      <c r="C222" s="3" t="s">
        <v>38</v>
      </c>
      <c r="D222" s="3" t="n">
        <v>729</v>
      </c>
    </row>
    <row r="223" customFormat="false" ht="15" hidden="false" customHeight="false" outlineLevel="0" collapsed="false">
      <c r="A223" s="2" t="n">
        <v>46224</v>
      </c>
      <c r="B223" s="3" t="s">
        <v>60</v>
      </c>
      <c r="C223" s="3" t="s">
        <v>39</v>
      </c>
      <c r="D223" s="3" t="n">
        <v>1501</v>
      </c>
    </row>
    <row r="224" customFormat="false" ht="15" hidden="false" customHeight="false" outlineLevel="0" collapsed="false">
      <c r="A224" s="2" t="n">
        <v>46224</v>
      </c>
      <c r="B224" s="3" t="s">
        <v>61</v>
      </c>
      <c r="C224" s="3" t="s">
        <v>38</v>
      </c>
      <c r="D224" s="3" t="n">
        <v>51</v>
      </c>
    </row>
    <row r="225" customFormat="false" ht="15" hidden="false" customHeight="false" outlineLevel="0" collapsed="false">
      <c r="A225" s="2" t="n">
        <v>46224</v>
      </c>
      <c r="B225" s="3" t="s">
        <v>61</v>
      </c>
      <c r="C225" s="3" t="s">
        <v>39</v>
      </c>
      <c r="D225" s="3" t="n">
        <v>95</v>
      </c>
    </row>
    <row r="226" customFormat="false" ht="15" hidden="false" customHeight="false" outlineLevel="0" collapsed="false">
      <c r="A226" s="2" t="n">
        <v>46224</v>
      </c>
      <c r="B226" s="3" t="s">
        <v>61</v>
      </c>
      <c r="C226" s="3" t="s">
        <v>14</v>
      </c>
      <c r="D226" s="3" t="n">
        <v>3</v>
      </c>
    </row>
    <row r="227" customFormat="false" ht="15" hidden="false" customHeight="false" outlineLevel="0" collapsed="false">
      <c r="A227" s="2" t="n">
        <v>46224</v>
      </c>
      <c r="B227" s="3" t="s">
        <v>62</v>
      </c>
      <c r="C227" s="3" t="s">
        <v>14</v>
      </c>
      <c r="D227" s="3" t="n">
        <v>1</v>
      </c>
    </row>
    <row r="228" customFormat="false" ht="15" hidden="false" customHeight="false" outlineLevel="0" collapsed="false">
      <c r="A228" s="2" t="n">
        <v>46224</v>
      </c>
      <c r="B228" s="3" t="s">
        <v>62</v>
      </c>
      <c r="C228" s="3" t="s">
        <v>38</v>
      </c>
      <c r="D228" s="3" t="n">
        <v>4001</v>
      </c>
    </row>
    <row r="229" customFormat="false" ht="15" hidden="false" customHeight="false" outlineLevel="0" collapsed="false">
      <c r="A229" s="2" t="n">
        <v>46224</v>
      </c>
      <c r="B229" s="3" t="s">
        <v>62</v>
      </c>
      <c r="C229" s="3" t="s">
        <v>39</v>
      </c>
      <c r="D229" s="3" t="n">
        <v>546</v>
      </c>
    </row>
    <row r="230" customFormat="false" ht="15" hidden="false" customHeight="false" outlineLevel="0" collapsed="false">
      <c r="A230" s="2" t="n">
        <v>46224</v>
      </c>
      <c r="B230" s="3" t="s">
        <v>63</v>
      </c>
      <c r="C230" s="3" t="s">
        <v>40</v>
      </c>
      <c r="D230" s="3" t="n">
        <v>6257</v>
      </c>
    </row>
    <row r="231" customFormat="false" ht="15" hidden="false" customHeight="false" outlineLevel="0" collapsed="false">
      <c r="A231" s="2" t="n">
        <v>46224</v>
      </c>
      <c r="B231" s="3" t="s">
        <v>64</v>
      </c>
      <c r="C231" s="3" t="s">
        <v>40</v>
      </c>
      <c r="D231" s="3" t="n">
        <v>5</v>
      </c>
    </row>
    <row r="232" customFormat="false" ht="15" hidden="false" customHeight="false" outlineLevel="0" collapsed="false">
      <c r="A232" s="2" t="n">
        <v>46224</v>
      </c>
      <c r="B232" s="3" t="s">
        <v>65</v>
      </c>
      <c r="C232" s="3" t="s">
        <v>40</v>
      </c>
      <c r="D232" s="3" t="n">
        <v>34</v>
      </c>
    </row>
    <row r="233" customFormat="false" ht="15" hidden="false" customHeight="false" outlineLevel="0" collapsed="false">
      <c r="A233" s="2" t="n">
        <v>46224</v>
      </c>
      <c r="B233" s="3" t="s">
        <v>66</v>
      </c>
      <c r="C233" s="3" t="s">
        <v>40</v>
      </c>
      <c r="D233" s="3" t="n">
        <v>28</v>
      </c>
    </row>
    <row r="234" customFormat="false" ht="15" hidden="false" customHeight="false" outlineLevel="0" collapsed="false">
      <c r="A234" s="2" t="n">
        <v>46224</v>
      </c>
      <c r="B234" s="3" t="s">
        <v>67</v>
      </c>
      <c r="C234" s="3" t="s">
        <v>20</v>
      </c>
      <c r="D234" s="3" t="n">
        <v>3820</v>
      </c>
    </row>
    <row r="235" customFormat="false" ht="15" hidden="false" customHeight="false" outlineLevel="0" collapsed="false">
      <c r="A235" s="2" t="n">
        <v>46224</v>
      </c>
      <c r="B235" s="3" t="s">
        <v>67</v>
      </c>
      <c r="C235" s="3" t="s">
        <v>22</v>
      </c>
      <c r="D235" s="3" t="n">
        <v>3</v>
      </c>
    </row>
    <row r="236" customFormat="false" ht="15" hidden="false" customHeight="false" outlineLevel="0" collapsed="false">
      <c r="A236" s="2" t="n">
        <v>46224</v>
      </c>
      <c r="B236" s="3" t="s">
        <v>67</v>
      </c>
      <c r="C236" s="3" t="s">
        <v>32</v>
      </c>
      <c r="D236" s="3" t="n">
        <v>1742</v>
      </c>
    </row>
    <row r="237" customFormat="false" ht="15" hidden="false" customHeight="false" outlineLevel="0" collapsed="false">
      <c r="A237" s="2" t="n">
        <v>46224</v>
      </c>
      <c r="B237" s="3" t="s">
        <v>67</v>
      </c>
      <c r="C237" s="3" t="s">
        <v>33</v>
      </c>
      <c r="D237" s="3" t="n">
        <v>19930</v>
      </c>
    </row>
    <row r="238" customFormat="false" ht="15" hidden="false" customHeight="false" outlineLevel="0" collapsed="false">
      <c r="A238" s="2" t="n">
        <v>46224</v>
      </c>
      <c r="B238" s="3" t="s">
        <v>67</v>
      </c>
      <c r="C238" s="3" t="s">
        <v>34</v>
      </c>
      <c r="D238" s="3" t="n">
        <v>18188</v>
      </c>
    </row>
    <row r="239" customFormat="false" ht="15" hidden="false" customHeight="false" outlineLevel="0" collapsed="false">
      <c r="A239" s="2" t="n">
        <v>46224</v>
      </c>
      <c r="B239" s="3" t="s">
        <v>68</v>
      </c>
      <c r="C239" s="3" t="s">
        <v>11</v>
      </c>
      <c r="D239" s="3" t="n">
        <v>348</v>
      </c>
    </row>
    <row r="240" customFormat="false" ht="15" hidden="false" customHeight="false" outlineLevel="0" collapsed="false">
      <c r="A240" s="2" t="n">
        <v>46224</v>
      </c>
      <c r="B240" s="3" t="s">
        <v>69</v>
      </c>
      <c r="C240" s="3" t="s">
        <v>70</v>
      </c>
      <c r="D240" s="3" t="n">
        <v>8</v>
      </c>
    </row>
    <row r="241" customFormat="false" ht="15" hidden="false" customHeight="false" outlineLevel="0" collapsed="false">
      <c r="A241" s="2" t="n">
        <v>46224</v>
      </c>
      <c r="B241" s="3" t="s">
        <v>69</v>
      </c>
      <c r="C241" s="3" t="s">
        <v>11</v>
      </c>
      <c r="D241" s="3" t="n">
        <v>52654</v>
      </c>
    </row>
    <row r="242" customFormat="false" ht="15" hidden="false" customHeight="false" outlineLevel="0" collapsed="false">
      <c r="A242" s="2" t="n">
        <v>46224</v>
      </c>
      <c r="B242" s="3" t="s">
        <v>71</v>
      </c>
      <c r="C242" s="3" t="s">
        <v>42</v>
      </c>
      <c r="D242" s="3" t="n">
        <v>3</v>
      </c>
    </row>
    <row r="243" customFormat="false" ht="15" hidden="false" customHeight="false" outlineLevel="0" collapsed="false">
      <c r="A243" s="2" t="n">
        <v>46224</v>
      </c>
      <c r="B243" s="3" t="s">
        <v>71</v>
      </c>
      <c r="C243" s="3" t="s">
        <v>37</v>
      </c>
      <c r="D243" s="3" t="n">
        <v>1</v>
      </c>
    </row>
    <row r="244" customFormat="false" ht="15" hidden="false" customHeight="false" outlineLevel="0" collapsed="false">
      <c r="A244" s="2" t="n">
        <v>46224</v>
      </c>
      <c r="B244" s="3" t="s">
        <v>71</v>
      </c>
      <c r="C244" s="3" t="s">
        <v>38</v>
      </c>
      <c r="D244" s="3" t="n">
        <v>21681</v>
      </c>
    </row>
    <row r="245" customFormat="false" ht="15" hidden="false" customHeight="false" outlineLevel="0" collapsed="false">
      <c r="A245" s="2" t="n">
        <v>46224</v>
      </c>
      <c r="B245" s="3" t="s">
        <v>71</v>
      </c>
      <c r="C245" s="3" t="s">
        <v>39</v>
      </c>
      <c r="D245" s="3" t="n">
        <v>5096</v>
      </c>
    </row>
    <row r="246" customFormat="false" ht="15" hidden="false" customHeight="false" outlineLevel="0" collapsed="false">
      <c r="A246" s="2" t="n">
        <v>46224</v>
      </c>
      <c r="B246" s="3" t="s">
        <v>71</v>
      </c>
      <c r="C246" s="3" t="s">
        <v>14</v>
      </c>
      <c r="D246" s="3" t="n">
        <v>21778</v>
      </c>
    </row>
    <row r="247" customFormat="false" ht="15" hidden="false" customHeight="false" outlineLevel="0" collapsed="false">
      <c r="A247" s="2" t="n">
        <v>46224</v>
      </c>
      <c r="B247" s="3" t="s">
        <v>72</v>
      </c>
      <c r="C247" s="3" t="s">
        <v>40</v>
      </c>
      <c r="D247" s="3" t="n">
        <v>1053</v>
      </c>
    </row>
    <row r="248" customFormat="false" ht="15" hidden="false" customHeight="false" outlineLevel="0" collapsed="false">
      <c r="A248" s="2" t="n">
        <v>46224</v>
      </c>
      <c r="B248" s="3" t="s">
        <v>73</v>
      </c>
      <c r="C248" s="3" t="s">
        <v>40</v>
      </c>
      <c r="D248" s="3" t="n">
        <v>74</v>
      </c>
    </row>
    <row r="249" customFormat="false" ht="15" hidden="false" customHeight="false" outlineLevel="0" collapsed="false">
      <c r="A249" s="2" t="n">
        <v>46224</v>
      </c>
      <c r="B249" s="3" t="s">
        <v>74</v>
      </c>
      <c r="C249" s="3" t="s">
        <v>16</v>
      </c>
      <c r="D249" s="3" t="n">
        <v>15</v>
      </c>
    </row>
    <row r="250" customFormat="false" ht="15" hidden="false" customHeight="false" outlineLevel="0" collapsed="false">
      <c r="A250" s="2" t="n">
        <v>46224</v>
      </c>
      <c r="B250" s="3" t="s">
        <v>75</v>
      </c>
      <c r="C250" s="3" t="s">
        <v>11</v>
      </c>
      <c r="D250" s="3" t="n">
        <v>3456</v>
      </c>
    </row>
    <row r="251" customFormat="false" ht="15" hidden="false" customHeight="false" outlineLevel="0" collapsed="false">
      <c r="A251" s="2" t="n">
        <v>46224</v>
      </c>
      <c r="B251" s="3" t="s">
        <v>76</v>
      </c>
      <c r="C251" s="3" t="s">
        <v>11</v>
      </c>
      <c r="D251" s="3" t="n">
        <v>1608</v>
      </c>
    </row>
    <row r="252" customFormat="false" ht="15" hidden="false" customHeight="false" outlineLevel="0" collapsed="false">
      <c r="A252" s="2" t="n">
        <v>46224</v>
      </c>
      <c r="B252" s="3" t="s">
        <v>77</v>
      </c>
      <c r="C252" s="3" t="s">
        <v>23</v>
      </c>
      <c r="D252" s="3" t="n">
        <v>64</v>
      </c>
    </row>
    <row r="253" customFormat="false" ht="15" hidden="false" customHeight="false" outlineLevel="0" collapsed="false">
      <c r="A253" s="2" t="n">
        <v>46224</v>
      </c>
      <c r="B253" s="3" t="s">
        <v>77</v>
      </c>
      <c r="C253" s="3" t="s">
        <v>35</v>
      </c>
      <c r="D253" s="3" t="n">
        <v>5934</v>
      </c>
    </row>
    <row r="254" customFormat="false" ht="15" hidden="false" customHeight="false" outlineLevel="0" collapsed="false">
      <c r="A254" s="2" t="n">
        <v>46224</v>
      </c>
      <c r="B254" s="3" t="s">
        <v>77</v>
      </c>
      <c r="C254" s="3" t="s">
        <v>24</v>
      </c>
      <c r="D254" s="3" t="n">
        <v>2</v>
      </c>
    </row>
    <row r="255" customFormat="false" ht="15" hidden="false" customHeight="false" outlineLevel="0" collapsed="false">
      <c r="A255" s="2" t="n">
        <v>46224</v>
      </c>
      <c r="B255" s="3" t="s">
        <v>77</v>
      </c>
      <c r="C255" s="3" t="s">
        <v>78</v>
      </c>
      <c r="D255" s="3" t="n">
        <v>536</v>
      </c>
    </row>
    <row r="256" customFormat="false" ht="15" hidden="false" customHeight="false" outlineLevel="0" collapsed="false">
      <c r="A256" s="2" t="n">
        <v>46224</v>
      </c>
      <c r="B256" s="3" t="s">
        <v>79</v>
      </c>
      <c r="C256" s="3" t="s">
        <v>14</v>
      </c>
      <c r="D256" s="3" t="n">
        <v>1</v>
      </c>
    </row>
    <row r="257" customFormat="false" ht="15" hidden="false" customHeight="false" outlineLevel="0" collapsed="false">
      <c r="A257" s="2" t="n">
        <v>46224</v>
      </c>
      <c r="B257" s="3" t="s">
        <v>80</v>
      </c>
      <c r="C257" s="3" t="s">
        <v>14</v>
      </c>
      <c r="D257" s="3" t="n">
        <v>60</v>
      </c>
    </row>
    <row r="258" customFormat="false" ht="15" hidden="false" customHeight="false" outlineLevel="0" collapsed="false">
      <c r="A258" s="2" t="n">
        <v>46224</v>
      </c>
      <c r="B258" s="3" t="s">
        <v>80</v>
      </c>
      <c r="C258" s="3" t="s">
        <v>40</v>
      </c>
      <c r="D258" s="3" t="n">
        <v>59</v>
      </c>
    </row>
    <row r="259" customFormat="false" ht="15" hidden="false" customHeight="false" outlineLevel="0" collapsed="false">
      <c r="A259" s="2" t="n">
        <v>46224</v>
      </c>
      <c r="B259" s="3" t="s">
        <v>81</v>
      </c>
      <c r="C259" s="3" t="s">
        <v>40</v>
      </c>
      <c r="D259" s="3" t="n">
        <v>3178</v>
      </c>
    </row>
    <row r="260" customFormat="false" ht="15" hidden="false" customHeight="false" outlineLevel="0" collapsed="false">
      <c r="A260" s="2" t="n">
        <v>46224</v>
      </c>
      <c r="B260" s="3" t="s">
        <v>82</v>
      </c>
      <c r="C260" s="3" t="s">
        <v>16</v>
      </c>
      <c r="D260" s="3" t="n">
        <v>5</v>
      </c>
    </row>
    <row r="261" customFormat="false" ht="15" hidden="false" customHeight="false" outlineLevel="0" collapsed="false">
      <c r="A261" s="2" t="n">
        <v>46224</v>
      </c>
      <c r="B261" s="3" t="s">
        <v>83</v>
      </c>
      <c r="C261" s="3" t="s">
        <v>16</v>
      </c>
      <c r="D261" s="3" t="n">
        <v>34</v>
      </c>
    </row>
    <row r="262" customFormat="false" ht="15" hidden="false" customHeight="false" outlineLevel="0" collapsed="false">
      <c r="A262" s="2" t="n">
        <v>46224</v>
      </c>
      <c r="B262" s="3" t="s">
        <v>84</v>
      </c>
      <c r="C262" s="3" t="s">
        <v>11</v>
      </c>
      <c r="D262" s="3" t="n">
        <v>11688</v>
      </c>
    </row>
    <row r="263" customFormat="false" ht="15" hidden="false" customHeight="false" outlineLevel="0" collapsed="false">
      <c r="A263" s="2" t="n">
        <v>46224</v>
      </c>
      <c r="B263" s="3" t="s">
        <v>85</v>
      </c>
      <c r="C263" s="3" t="s">
        <v>108</v>
      </c>
      <c r="D263" s="3" t="n">
        <v>1</v>
      </c>
    </row>
    <row r="264" customFormat="false" ht="15" hidden="false" customHeight="false" outlineLevel="0" collapsed="false">
      <c r="A264" s="2" t="n">
        <v>46224</v>
      </c>
      <c r="B264" s="3" t="s">
        <v>85</v>
      </c>
      <c r="C264" s="3" t="s">
        <v>88</v>
      </c>
      <c r="D264" s="3" t="n">
        <v>1</v>
      </c>
    </row>
    <row r="265" customFormat="false" ht="15" hidden="false" customHeight="false" outlineLevel="0" collapsed="false">
      <c r="A265" s="2" t="n">
        <v>46224</v>
      </c>
      <c r="B265" s="3" t="s">
        <v>85</v>
      </c>
      <c r="C265" s="3" t="s">
        <v>109</v>
      </c>
      <c r="D265" s="3" t="n">
        <v>1</v>
      </c>
    </row>
    <row r="266" customFormat="false" ht="15" hidden="false" customHeight="false" outlineLevel="0" collapsed="false">
      <c r="A266" s="2" t="n">
        <v>46224</v>
      </c>
      <c r="B266" s="3" t="s">
        <v>92</v>
      </c>
      <c r="C266" s="3" t="s">
        <v>40</v>
      </c>
      <c r="D266" s="3" t="n">
        <v>11</v>
      </c>
    </row>
    <row r="267" customFormat="false" ht="15" hidden="false" customHeight="false" outlineLevel="0" collapsed="false">
      <c r="A267" s="2" t="n">
        <v>46224</v>
      </c>
      <c r="B267" s="3" t="s">
        <v>92</v>
      </c>
      <c r="C267" s="3" t="s">
        <v>11</v>
      </c>
      <c r="D267" s="3" t="n">
        <v>1</v>
      </c>
    </row>
    <row r="268" customFormat="false" ht="15" hidden="false" customHeight="false" outlineLevel="0" collapsed="false">
      <c r="A268" s="2" t="n">
        <v>46224</v>
      </c>
      <c r="B268" s="3" t="s">
        <v>93</v>
      </c>
      <c r="C268" s="3" t="s">
        <v>9</v>
      </c>
      <c r="D268" s="3" t="n">
        <v>3</v>
      </c>
    </row>
    <row r="269" customFormat="false" ht="15" hidden="false" customHeight="false" outlineLevel="0" collapsed="false">
      <c r="A269" s="2" t="n">
        <v>46224</v>
      </c>
      <c r="B269" s="3" t="s">
        <v>94</v>
      </c>
      <c r="C269" s="3" t="s">
        <v>11</v>
      </c>
      <c r="D269" s="3" t="n">
        <v>38</v>
      </c>
    </row>
    <row r="270" customFormat="false" ht="15" hidden="false" customHeight="false" outlineLevel="0" collapsed="false">
      <c r="A270" s="2" t="n">
        <v>46224</v>
      </c>
      <c r="B270" s="3" t="s">
        <v>95</v>
      </c>
      <c r="C270" s="3" t="s">
        <v>11</v>
      </c>
      <c r="D270" s="3" t="n">
        <v>96</v>
      </c>
    </row>
    <row r="271" customFormat="false" ht="15" hidden="false" customHeight="false" outlineLevel="0" collapsed="false">
      <c r="A271" s="2" t="n">
        <v>46224</v>
      </c>
      <c r="B271" s="3" t="s">
        <v>96</v>
      </c>
      <c r="C271" s="3" t="s">
        <v>40</v>
      </c>
      <c r="D271" s="3" t="n">
        <v>85</v>
      </c>
    </row>
    <row r="272" customFormat="false" ht="15" hidden="false" customHeight="false" outlineLevel="0" collapsed="false">
      <c r="A272" s="2" t="n">
        <v>46224</v>
      </c>
      <c r="B272" s="3" t="s">
        <v>97</v>
      </c>
      <c r="C272" s="3" t="s">
        <v>98</v>
      </c>
      <c r="D272" s="3" t="n">
        <v>6</v>
      </c>
    </row>
    <row r="273" customFormat="false" ht="15" hidden="false" customHeight="false" outlineLevel="0" collapsed="false">
      <c r="A273" s="2" t="n">
        <v>46224</v>
      </c>
      <c r="B273" s="3" t="s">
        <v>97</v>
      </c>
      <c r="C273" s="3" t="s">
        <v>99</v>
      </c>
      <c r="D273" s="3" t="n">
        <v>10</v>
      </c>
    </row>
    <row r="274" customFormat="false" ht="15" hidden="false" customHeight="false" outlineLevel="0" collapsed="false">
      <c r="A274" s="2" t="n">
        <v>46224</v>
      </c>
      <c r="B274" s="3" t="s">
        <v>97</v>
      </c>
      <c r="C274" s="3" t="s">
        <v>100</v>
      </c>
      <c r="D274" s="3" t="n">
        <v>22</v>
      </c>
    </row>
    <row r="275" customFormat="false" ht="15" hidden="false" customHeight="false" outlineLevel="0" collapsed="false">
      <c r="A275" s="2" t="n">
        <v>46224</v>
      </c>
      <c r="B275" s="3" t="s">
        <v>97</v>
      </c>
      <c r="C275" s="3" t="s">
        <v>110</v>
      </c>
      <c r="D275" s="3" t="n">
        <v>3</v>
      </c>
    </row>
    <row r="276" customFormat="false" ht="15" hidden="false" customHeight="false" outlineLevel="0" collapsed="false">
      <c r="A276" s="2" t="n">
        <v>46224</v>
      </c>
      <c r="B276" s="3" t="s">
        <v>97</v>
      </c>
      <c r="C276" s="3" t="s">
        <v>111</v>
      </c>
      <c r="D276" s="3" t="n">
        <v>1</v>
      </c>
    </row>
    <row r="277" customFormat="false" ht="15" hidden="false" customHeight="false" outlineLevel="0" collapsed="false">
      <c r="A277" s="2" t="n">
        <v>46224</v>
      </c>
      <c r="B277" s="3" t="s">
        <v>97</v>
      </c>
      <c r="C277" s="3" t="s">
        <v>101</v>
      </c>
      <c r="D277" s="3" t="n">
        <v>94</v>
      </c>
    </row>
    <row r="278" customFormat="false" ht="15" hidden="false" customHeight="false" outlineLevel="0" collapsed="false">
      <c r="A278" s="2" t="n">
        <v>46224</v>
      </c>
      <c r="B278" s="3" t="s">
        <v>97</v>
      </c>
      <c r="C278" s="3" t="s">
        <v>102</v>
      </c>
      <c r="D278" s="3" t="n">
        <v>9</v>
      </c>
    </row>
    <row r="279" customFormat="false" ht="15" hidden="false" customHeight="false" outlineLevel="0" collapsed="false">
      <c r="A279" s="2" t="n">
        <v>46224</v>
      </c>
      <c r="B279" s="3" t="s">
        <v>103</v>
      </c>
      <c r="C279" s="3" t="s">
        <v>16</v>
      </c>
      <c r="D279" s="3" t="n">
        <v>5</v>
      </c>
    </row>
    <row r="280" customFormat="false" ht="15" hidden="false" customHeight="false" outlineLevel="0" collapsed="false">
      <c r="A280" s="2" t="n">
        <v>46224</v>
      </c>
      <c r="B280" s="3" t="s">
        <v>104</v>
      </c>
      <c r="C280" s="3" t="s">
        <v>16</v>
      </c>
      <c r="D280" s="3" t="n">
        <v>103</v>
      </c>
    </row>
    <row r="281" customFormat="false" ht="15" hidden="false" customHeight="false" outlineLevel="0" collapsed="false">
      <c r="A281" s="2" t="n">
        <v>46224</v>
      </c>
      <c r="B281" s="3" t="s">
        <v>105</v>
      </c>
      <c r="C281" s="3" t="s">
        <v>11</v>
      </c>
      <c r="D281" s="3" t="n">
        <v>1913</v>
      </c>
    </row>
    <row r="282" customFormat="false" ht="15" hidden="false" customHeight="false" outlineLevel="0" collapsed="false">
      <c r="A282" s="2" t="n">
        <v>46224</v>
      </c>
      <c r="B282" s="3" t="s">
        <v>106</v>
      </c>
      <c r="C282" s="3" t="s">
        <v>16</v>
      </c>
      <c r="D282" s="3" t="n">
        <v>388</v>
      </c>
    </row>
    <row r="283" customFormat="false" ht="15" hidden="false" customHeight="false" outlineLevel="0" collapsed="false">
      <c r="A283" s="2" t="n">
        <v>46224</v>
      </c>
      <c r="B283" s="3" t="s">
        <v>107</v>
      </c>
      <c r="C283" s="3" t="s">
        <v>11</v>
      </c>
      <c r="D283" s="3" t="n">
        <v>1</v>
      </c>
    </row>
    <row r="284" customFormat="false" ht="15" hidden="false" customHeight="false" outlineLevel="0" collapsed="false">
      <c r="A284" s="2" t="n">
        <v>46225</v>
      </c>
      <c r="B284" s="3"/>
      <c r="C284" s="3"/>
      <c r="D284" s="3" t="n">
        <v>1</v>
      </c>
    </row>
    <row r="285" customFormat="false" ht="15" hidden="false" customHeight="false" outlineLevel="0" collapsed="false">
      <c r="A285" s="2" t="n">
        <v>46225</v>
      </c>
      <c r="B285" s="3" t="s">
        <v>4</v>
      </c>
      <c r="C285" s="3" t="s">
        <v>5</v>
      </c>
      <c r="D285" s="3" t="n">
        <v>10</v>
      </c>
    </row>
    <row r="286" customFormat="false" ht="15" hidden="false" customHeight="false" outlineLevel="0" collapsed="false">
      <c r="A286" s="2" t="n">
        <v>46225</v>
      </c>
      <c r="B286" s="3" t="s">
        <v>4</v>
      </c>
      <c r="C286" s="3" t="s">
        <v>6</v>
      </c>
      <c r="D286" s="3" t="n">
        <v>11</v>
      </c>
    </row>
    <row r="287" customFormat="false" ht="15" hidden="false" customHeight="false" outlineLevel="0" collapsed="false">
      <c r="A287" s="2" t="n">
        <v>46225</v>
      </c>
      <c r="B287" s="3" t="s">
        <v>4</v>
      </c>
      <c r="C287" s="3" t="s">
        <v>7</v>
      </c>
      <c r="D287" s="3" t="n">
        <v>8</v>
      </c>
    </row>
    <row r="288" customFormat="false" ht="15" hidden="false" customHeight="false" outlineLevel="0" collapsed="false">
      <c r="A288" s="2" t="n">
        <v>46225</v>
      </c>
      <c r="B288" s="3" t="s">
        <v>4</v>
      </c>
      <c r="C288" s="3" t="s">
        <v>8</v>
      </c>
      <c r="D288" s="3" t="n">
        <v>455</v>
      </c>
    </row>
    <row r="289" customFormat="false" ht="15" hidden="false" customHeight="false" outlineLevel="0" collapsed="false">
      <c r="A289" s="2" t="n">
        <v>46225</v>
      </c>
      <c r="B289" s="3" t="s">
        <v>112</v>
      </c>
      <c r="C289" s="3" t="s">
        <v>23</v>
      </c>
      <c r="D289" s="3" t="n">
        <v>2</v>
      </c>
    </row>
    <row r="290" customFormat="false" ht="15" hidden="false" customHeight="false" outlineLevel="0" collapsed="false">
      <c r="A290" s="2" t="n">
        <v>46225</v>
      </c>
      <c r="B290" s="3" t="s">
        <v>10</v>
      </c>
      <c r="C290" s="3" t="s">
        <v>11</v>
      </c>
      <c r="D290" s="3" t="n">
        <v>11</v>
      </c>
    </row>
    <row r="291" customFormat="false" ht="15" hidden="false" customHeight="false" outlineLevel="0" collapsed="false">
      <c r="A291" s="2" t="n">
        <v>46225</v>
      </c>
      <c r="B291" s="3" t="s">
        <v>10</v>
      </c>
      <c r="C291" s="3" t="s">
        <v>14</v>
      </c>
      <c r="D291" s="3" t="n">
        <v>3</v>
      </c>
    </row>
    <row r="292" customFormat="false" ht="15" hidden="false" customHeight="false" outlineLevel="0" collapsed="false">
      <c r="A292" s="2" t="n">
        <v>46225</v>
      </c>
      <c r="B292" s="3" t="s">
        <v>10</v>
      </c>
      <c r="C292" s="3" t="s">
        <v>26</v>
      </c>
      <c r="D292" s="3" t="n">
        <v>1</v>
      </c>
    </row>
    <row r="293" customFormat="false" ht="15" hidden="false" customHeight="false" outlineLevel="0" collapsed="false">
      <c r="A293" s="2" t="n">
        <v>46225</v>
      </c>
      <c r="B293" s="3" t="s">
        <v>10</v>
      </c>
      <c r="C293" s="3" t="s">
        <v>28</v>
      </c>
      <c r="D293" s="3" t="n">
        <v>1</v>
      </c>
    </row>
    <row r="294" customFormat="false" ht="15" hidden="false" customHeight="false" outlineLevel="0" collapsed="false">
      <c r="A294" s="2" t="n">
        <v>46225</v>
      </c>
      <c r="B294" s="3" t="s">
        <v>12</v>
      </c>
      <c r="C294" s="3" t="s">
        <v>13</v>
      </c>
      <c r="D294" s="3" t="n">
        <v>112992</v>
      </c>
    </row>
    <row r="295" customFormat="false" ht="15" hidden="false" customHeight="false" outlineLevel="0" collapsed="false">
      <c r="A295" s="2" t="n">
        <v>46225</v>
      </c>
      <c r="B295" s="3" t="s">
        <v>12</v>
      </c>
      <c r="C295" s="3" t="s">
        <v>14</v>
      </c>
      <c r="D295" s="3" t="n">
        <v>4</v>
      </c>
    </row>
    <row r="296" customFormat="false" ht="15" hidden="false" customHeight="false" outlineLevel="0" collapsed="false">
      <c r="A296" s="2" t="n">
        <v>46225</v>
      </c>
      <c r="B296" s="3" t="s">
        <v>15</v>
      </c>
      <c r="C296" s="3" t="s">
        <v>16</v>
      </c>
      <c r="D296" s="3" t="n">
        <v>31</v>
      </c>
    </row>
    <row r="297" customFormat="false" ht="15" hidden="false" customHeight="false" outlineLevel="0" collapsed="false">
      <c r="A297" s="2" t="n">
        <v>46225</v>
      </c>
      <c r="B297" s="3" t="s">
        <v>17</v>
      </c>
      <c r="C297" s="3" t="s">
        <v>16</v>
      </c>
      <c r="D297" s="3" t="n">
        <v>87</v>
      </c>
    </row>
    <row r="298" customFormat="false" ht="15" hidden="false" customHeight="false" outlineLevel="0" collapsed="false">
      <c r="A298" s="2" t="n">
        <v>46225</v>
      </c>
      <c r="B298" s="3" t="s">
        <v>18</v>
      </c>
      <c r="C298" s="3" t="s">
        <v>11</v>
      </c>
      <c r="D298" s="3" t="n">
        <v>289</v>
      </c>
    </row>
    <row r="299" customFormat="false" ht="15" hidden="false" customHeight="false" outlineLevel="0" collapsed="false">
      <c r="A299" s="2" t="n">
        <v>46225</v>
      </c>
      <c r="B299" s="3" t="s">
        <v>19</v>
      </c>
      <c r="C299" s="3" t="s">
        <v>23</v>
      </c>
      <c r="D299" s="3" t="n">
        <v>144</v>
      </c>
    </row>
    <row r="300" customFormat="false" ht="15" hidden="false" customHeight="false" outlineLevel="0" collapsed="false">
      <c r="A300" s="2" t="n">
        <v>46225</v>
      </c>
      <c r="B300" s="3" t="s">
        <v>19</v>
      </c>
      <c r="C300" s="3" t="s">
        <v>24</v>
      </c>
      <c r="D300" s="3" t="n">
        <v>140</v>
      </c>
    </row>
    <row r="301" customFormat="false" ht="15" hidden="false" customHeight="false" outlineLevel="0" collapsed="false">
      <c r="A301" s="2" t="n">
        <v>46225</v>
      </c>
      <c r="B301" s="3" t="s">
        <v>19</v>
      </c>
      <c r="C301" s="3" t="s">
        <v>20</v>
      </c>
      <c r="D301" s="3" t="n">
        <v>59</v>
      </c>
    </row>
    <row r="302" customFormat="false" ht="15" hidden="false" customHeight="false" outlineLevel="0" collapsed="false">
      <c r="A302" s="2" t="n">
        <v>46225</v>
      </c>
      <c r="B302" s="3" t="s">
        <v>19</v>
      </c>
      <c r="C302" s="3" t="s">
        <v>21</v>
      </c>
      <c r="D302" s="3" t="n">
        <v>107</v>
      </c>
    </row>
    <row r="303" customFormat="false" ht="15" hidden="false" customHeight="false" outlineLevel="0" collapsed="false">
      <c r="A303" s="2" t="n">
        <v>46225</v>
      </c>
      <c r="B303" s="3" t="s">
        <v>25</v>
      </c>
      <c r="C303" s="3" t="s">
        <v>11</v>
      </c>
      <c r="D303" s="3" t="n">
        <v>2160</v>
      </c>
    </row>
    <row r="304" customFormat="false" ht="15" hidden="false" customHeight="false" outlineLevel="0" collapsed="false">
      <c r="A304" s="2" t="n">
        <v>46225</v>
      </c>
      <c r="B304" s="3" t="s">
        <v>25</v>
      </c>
      <c r="C304" s="3" t="s">
        <v>26</v>
      </c>
      <c r="D304" s="3" t="n">
        <v>61</v>
      </c>
    </row>
    <row r="305" customFormat="false" ht="15" hidden="false" customHeight="false" outlineLevel="0" collapsed="false">
      <c r="A305" s="2" t="n">
        <v>46225</v>
      </c>
      <c r="B305" s="3" t="s">
        <v>25</v>
      </c>
      <c r="C305" s="3" t="s">
        <v>14</v>
      </c>
      <c r="D305" s="3" t="n">
        <v>132</v>
      </c>
    </row>
    <row r="306" customFormat="false" ht="15" hidden="false" customHeight="false" outlineLevel="0" collapsed="false">
      <c r="A306" s="2" t="n">
        <v>46225</v>
      </c>
      <c r="B306" s="3" t="s">
        <v>27</v>
      </c>
      <c r="C306" s="3" t="s">
        <v>14</v>
      </c>
      <c r="D306" s="3" t="n">
        <v>71</v>
      </c>
    </row>
    <row r="307" customFormat="false" ht="15" hidden="false" customHeight="false" outlineLevel="0" collapsed="false">
      <c r="A307" s="2" t="n">
        <v>46225</v>
      </c>
      <c r="B307" s="3" t="s">
        <v>27</v>
      </c>
      <c r="C307" s="3" t="s">
        <v>28</v>
      </c>
      <c r="D307" s="3" t="n">
        <v>74</v>
      </c>
    </row>
    <row r="308" customFormat="false" ht="15" hidden="false" customHeight="false" outlineLevel="0" collapsed="false">
      <c r="A308" s="2" t="n">
        <v>46225</v>
      </c>
      <c r="B308" s="3" t="s">
        <v>29</v>
      </c>
      <c r="C308" s="3" t="s">
        <v>16</v>
      </c>
      <c r="D308" s="3" t="n">
        <v>141</v>
      </c>
    </row>
    <row r="309" customFormat="false" ht="15" hidden="false" customHeight="false" outlineLevel="0" collapsed="false">
      <c r="A309" s="2" t="n">
        <v>46225</v>
      </c>
      <c r="B309" s="3" t="s">
        <v>30</v>
      </c>
      <c r="C309" s="3" t="s">
        <v>11</v>
      </c>
      <c r="D309" s="3" t="n">
        <v>11</v>
      </c>
    </row>
    <row r="310" customFormat="false" ht="15" hidden="false" customHeight="false" outlineLevel="0" collapsed="false">
      <c r="A310" s="2" t="n">
        <v>46225</v>
      </c>
      <c r="B310" s="3" t="s">
        <v>31</v>
      </c>
      <c r="C310" s="3" t="s">
        <v>32</v>
      </c>
      <c r="D310" s="3" t="n">
        <v>163</v>
      </c>
    </row>
    <row r="311" customFormat="false" ht="15" hidden="false" customHeight="false" outlineLevel="0" collapsed="false">
      <c r="A311" s="2" t="n">
        <v>46225</v>
      </c>
      <c r="B311" s="3" t="s">
        <v>31</v>
      </c>
      <c r="C311" s="3" t="s">
        <v>33</v>
      </c>
      <c r="D311" s="3" t="n">
        <v>2807</v>
      </c>
    </row>
    <row r="312" customFormat="false" ht="15" hidden="false" customHeight="false" outlineLevel="0" collapsed="false">
      <c r="A312" s="2" t="n">
        <v>46225</v>
      </c>
      <c r="B312" s="3" t="s">
        <v>31</v>
      </c>
      <c r="C312" s="3" t="s">
        <v>34</v>
      </c>
      <c r="D312" s="3" t="n">
        <v>2644</v>
      </c>
    </row>
    <row r="313" customFormat="false" ht="15" hidden="false" customHeight="false" outlineLevel="0" collapsed="false">
      <c r="A313" s="2" t="n">
        <v>46225</v>
      </c>
      <c r="B313" s="3" t="s">
        <v>31</v>
      </c>
      <c r="C313" s="3" t="s">
        <v>20</v>
      </c>
      <c r="D313" s="3" t="n">
        <v>373</v>
      </c>
    </row>
    <row r="314" customFormat="false" ht="15" hidden="false" customHeight="false" outlineLevel="0" collapsed="false">
      <c r="A314" s="2" t="n">
        <v>46225</v>
      </c>
      <c r="B314" s="3" t="s">
        <v>31</v>
      </c>
      <c r="C314" s="3" t="s">
        <v>22</v>
      </c>
      <c r="D314" s="3" t="n">
        <v>52</v>
      </c>
    </row>
    <row r="315" customFormat="false" ht="15" hidden="false" customHeight="false" outlineLevel="0" collapsed="false">
      <c r="A315" s="2" t="n">
        <v>46225</v>
      </c>
      <c r="B315" s="3" t="s">
        <v>31</v>
      </c>
      <c r="C315" s="3" t="s">
        <v>23</v>
      </c>
      <c r="D315" s="3" t="n">
        <v>290</v>
      </c>
    </row>
    <row r="316" customFormat="false" ht="15" hidden="false" customHeight="false" outlineLevel="0" collapsed="false">
      <c r="A316" s="2" t="n">
        <v>46225</v>
      </c>
      <c r="B316" s="3" t="s">
        <v>31</v>
      </c>
      <c r="C316" s="3" t="s">
        <v>35</v>
      </c>
      <c r="D316" s="3" t="n">
        <v>312</v>
      </c>
    </row>
    <row r="317" customFormat="false" ht="15" hidden="false" customHeight="false" outlineLevel="0" collapsed="false">
      <c r="A317" s="2" t="n">
        <v>46225</v>
      </c>
      <c r="B317" s="3" t="s">
        <v>31</v>
      </c>
      <c r="C317" s="3" t="s">
        <v>24</v>
      </c>
      <c r="D317" s="3" t="n">
        <v>16</v>
      </c>
    </row>
    <row r="318" customFormat="false" ht="15" hidden="false" customHeight="false" outlineLevel="0" collapsed="false">
      <c r="A318" s="2" t="n">
        <v>46225</v>
      </c>
      <c r="B318" s="3" t="s">
        <v>36</v>
      </c>
      <c r="C318" s="3" t="s">
        <v>37</v>
      </c>
      <c r="D318" s="3" t="n">
        <v>848</v>
      </c>
    </row>
    <row r="319" customFormat="false" ht="15" hidden="false" customHeight="false" outlineLevel="0" collapsed="false">
      <c r="A319" s="2" t="n">
        <v>46225</v>
      </c>
      <c r="B319" s="3" t="s">
        <v>36</v>
      </c>
      <c r="C319" s="3" t="s">
        <v>38</v>
      </c>
      <c r="D319" s="3" t="n">
        <v>848</v>
      </c>
    </row>
    <row r="320" customFormat="false" ht="15" hidden="false" customHeight="false" outlineLevel="0" collapsed="false">
      <c r="A320" s="2" t="n">
        <v>46225</v>
      </c>
      <c r="B320" s="3" t="s">
        <v>36</v>
      </c>
      <c r="C320" s="3" t="s">
        <v>39</v>
      </c>
      <c r="D320" s="3" t="n">
        <v>556</v>
      </c>
    </row>
    <row r="321" customFormat="false" ht="15" hidden="false" customHeight="false" outlineLevel="0" collapsed="false">
      <c r="A321" s="2" t="n">
        <v>46225</v>
      </c>
      <c r="B321" s="3" t="s">
        <v>36</v>
      </c>
      <c r="C321" s="3" t="s">
        <v>40</v>
      </c>
      <c r="D321" s="3" t="n">
        <v>2</v>
      </c>
    </row>
    <row r="322" customFormat="false" ht="15" hidden="false" customHeight="false" outlineLevel="0" collapsed="false">
      <c r="A322" s="2" t="n">
        <v>46225</v>
      </c>
      <c r="B322" s="3" t="s">
        <v>36</v>
      </c>
      <c r="C322" s="3" t="s">
        <v>11</v>
      </c>
      <c r="D322" s="3" t="n">
        <v>23472</v>
      </c>
    </row>
    <row r="323" customFormat="false" ht="15" hidden="false" customHeight="false" outlineLevel="0" collapsed="false">
      <c r="A323" s="2" t="n">
        <v>46225</v>
      </c>
      <c r="B323" s="3" t="s">
        <v>36</v>
      </c>
      <c r="C323" s="3" t="s">
        <v>14</v>
      </c>
      <c r="D323" s="3" t="n">
        <v>5</v>
      </c>
    </row>
    <row r="324" customFormat="false" ht="15" hidden="false" customHeight="false" outlineLevel="0" collapsed="false">
      <c r="A324" s="2" t="n">
        <v>46225</v>
      </c>
      <c r="B324" s="3" t="s">
        <v>41</v>
      </c>
      <c r="C324" s="3" t="s">
        <v>14</v>
      </c>
      <c r="D324" s="3" t="n">
        <v>14</v>
      </c>
    </row>
    <row r="325" customFormat="false" ht="15" hidden="false" customHeight="false" outlineLevel="0" collapsed="false">
      <c r="A325" s="2" t="n">
        <v>46225</v>
      </c>
      <c r="B325" s="3" t="s">
        <v>41</v>
      </c>
      <c r="C325" s="3" t="s">
        <v>26</v>
      </c>
      <c r="D325" s="3" t="n">
        <v>143</v>
      </c>
    </row>
    <row r="326" customFormat="false" ht="15" hidden="false" customHeight="false" outlineLevel="0" collapsed="false">
      <c r="A326" s="2" t="n">
        <v>46225</v>
      </c>
      <c r="B326" s="3" t="s">
        <v>41</v>
      </c>
      <c r="C326" s="3" t="s">
        <v>38</v>
      </c>
      <c r="D326" s="3" t="n">
        <v>378</v>
      </c>
    </row>
    <row r="327" customFormat="false" ht="15" hidden="false" customHeight="false" outlineLevel="0" collapsed="false">
      <c r="A327" s="2" t="n">
        <v>46225</v>
      </c>
      <c r="B327" s="3" t="s">
        <v>41</v>
      </c>
      <c r="C327" s="3" t="s">
        <v>28</v>
      </c>
      <c r="D327" s="3" t="n">
        <v>125</v>
      </c>
    </row>
    <row r="328" customFormat="false" ht="15" hidden="false" customHeight="false" outlineLevel="0" collapsed="false">
      <c r="A328" s="2" t="n">
        <v>46225</v>
      </c>
      <c r="B328" s="3" t="s">
        <v>41</v>
      </c>
      <c r="C328" s="3" t="s">
        <v>39</v>
      </c>
      <c r="D328" s="3" t="n">
        <v>304</v>
      </c>
    </row>
    <row r="329" customFormat="false" ht="15" hidden="false" customHeight="false" outlineLevel="0" collapsed="false">
      <c r="A329" s="2" t="n">
        <v>46225</v>
      </c>
      <c r="B329" s="3" t="s">
        <v>41</v>
      </c>
      <c r="C329" s="3" t="s">
        <v>42</v>
      </c>
      <c r="D329" s="3" t="n">
        <v>4</v>
      </c>
    </row>
    <row r="330" customFormat="false" ht="15" hidden="false" customHeight="false" outlineLevel="0" collapsed="false">
      <c r="A330" s="2" t="n">
        <v>46225</v>
      </c>
      <c r="B330" s="3" t="s">
        <v>41</v>
      </c>
      <c r="C330" s="3" t="s">
        <v>11</v>
      </c>
      <c r="D330" s="3" t="n">
        <v>948</v>
      </c>
    </row>
    <row r="331" customFormat="false" ht="15" hidden="false" customHeight="false" outlineLevel="0" collapsed="false">
      <c r="A331" s="2" t="n">
        <v>46225</v>
      </c>
      <c r="B331" s="3" t="s">
        <v>43</v>
      </c>
      <c r="C331" s="3" t="s">
        <v>16</v>
      </c>
      <c r="D331" s="3" t="n">
        <v>188</v>
      </c>
    </row>
    <row r="332" customFormat="false" ht="15" hidden="false" customHeight="false" outlineLevel="0" collapsed="false">
      <c r="A332" s="2" t="n">
        <v>46225</v>
      </c>
      <c r="B332" s="3" t="s">
        <v>44</v>
      </c>
      <c r="C332" s="3" t="s">
        <v>16</v>
      </c>
      <c r="D332" s="3" t="n">
        <v>5</v>
      </c>
    </row>
    <row r="333" customFormat="false" ht="15" hidden="false" customHeight="false" outlineLevel="0" collapsed="false">
      <c r="A333" s="2" t="n">
        <v>46225</v>
      </c>
      <c r="B333" s="3" t="s">
        <v>46</v>
      </c>
      <c r="C333" s="3" t="s">
        <v>16</v>
      </c>
      <c r="D333" s="3" t="n">
        <v>6867</v>
      </c>
    </row>
    <row r="334" customFormat="false" ht="15" hidden="false" customHeight="false" outlineLevel="0" collapsed="false">
      <c r="A334" s="2" t="n">
        <v>46225</v>
      </c>
      <c r="B334" s="3" t="s">
        <v>47</v>
      </c>
      <c r="C334" s="3" t="s">
        <v>16</v>
      </c>
      <c r="D334" s="3" t="n">
        <v>68</v>
      </c>
    </row>
    <row r="335" customFormat="false" ht="15" hidden="false" customHeight="false" outlineLevel="0" collapsed="false">
      <c r="A335" s="2" t="n">
        <v>46225</v>
      </c>
      <c r="B335" s="3" t="s">
        <v>48</v>
      </c>
      <c r="C335" s="3" t="s">
        <v>14</v>
      </c>
      <c r="D335" s="3" t="n">
        <v>7</v>
      </c>
    </row>
    <row r="336" customFormat="false" ht="15" hidden="false" customHeight="false" outlineLevel="0" collapsed="false">
      <c r="A336" s="2" t="n">
        <v>46225</v>
      </c>
      <c r="B336" s="3" t="s">
        <v>48</v>
      </c>
      <c r="C336" s="3" t="s">
        <v>38</v>
      </c>
      <c r="D336" s="3" t="n">
        <v>6</v>
      </c>
    </row>
    <row r="337" customFormat="false" ht="15" hidden="false" customHeight="false" outlineLevel="0" collapsed="false">
      <c r="A337" s="2" t="n">
        <v>46225</v>
      </c>
      <c r="B337" s="3" t="s">
        <v>48</v>
      </c>
      <c r="C337" s="3" t="s">
        <v>39</v>
      </c>
      <c r="D337" s="3" t="n">
        <v>3</v>
      </c>
    </row>
    <row r="338" customFormat="false" ht="15" hidden="false" customHeight="false" outlineLevel="0" collapsed="false">
      <c r="A338" s="2" t="n">
        <v>46225</v>
      </c>
      <c r="B338" s="3" t="s">
        <v>49</v>
      </c>
      <c r="C338" s="3" t="s">
        <v>40</v>
      </c>
      <c r="D338" s="3" t="n">
        <v>11518</v>
      </c>
    </row>
    <row r="339" customFormat="false" ht="15" hidden="false" customHeight="false" outlineLevel="0" collapsed="false">
      <c r="A339" s="2" t="n">
        <v>46225</v>
      </c>
      <c r="B339" s="3" t="s">
        <v>50</v>
      </c>
      <c r="C339" s="3" t="s">
        <v>40</v>
      </c>
      <c r="D339" s="3" t="n">
        <v>11060</v>
      </c>
    </row>
    <row r="340" customFormat="false" ht="15" hidden="false" customHeight="false" outlineLevel="0" collapsed="false">
      <c r="A340" s="2" t="n">
        <v>46225</v>
      </c>
      <c r="B340" s="3" t="s">
        <v>51</v>
      </c>
      <c r="C340" s="3" t="s">
        <v>32</v>
      </c>
      <c r="D340" s="3" t="n">
        <v>2148</v>
      </c>
    </row>
    <row r="341" customFormat="false" ht="15" hidden="false" customHeight="false" outlineLevel="0" collapsed="false">
      <c r="A341" s="2" t="n">
        <v>46225</v>
      </c>
      <c r="B341" s="3" t="s">
        <v>51</v>
      </c>
      <c r="C341" s="3" t="s">
        <v>33</v>
      </c>
      <c r="D341" s="3" t="n">
        <v>7172</v>
      </c>
    </row>
    <row r="342" customFormat="false" ht="15" hidden="false" customHeight="false" outlineLevel="0" collapsed="false">
      <c r="A342" s="2" t="n">
        <v>46225</v>
      </c>
      <c r="B342" s="3" t="s">
        <v>51</v>
      </c>
      <c r="C342" s="3" t="s">
        <v>34</v>
      </c>
      <c r="D342" s="3" t="n">
        <v>5027</v>
      </c>
    </row>
    <row r="343" customFormat="false" ht="15" hidden="false" customHeight="false" outlineLevel="0" collapsed="false">
      <c r="A343" s="2" t="n">
        <v>46225</v>
      </c>
      <c r="B343" s="3" t="s">
        <v>51</v>
      </c>
      <c r="C343" s="3" t="s">
        <v>20</v>
      </c>
      <c r="D343" s="3" t="n">
        <v>6371</v>
      </c>
    </row>
    <row r="344" customFormat="false" ht="15" hidden="false" customHeight="false" outlineLevel="0" collapsed="false">
      <c r="A344" s="2" t="n">
        <v>46225</v>
      </c>
      <c r="B344" s="3" t="s">
        <v>51</v>
      </c>
      <c r="C344" s="3" t="s">
        <v>22</v>
      </c>
      <c r="D344" s="3" t="n">
        <v>3180</v>
      </c>
    </row>
    <row r="345" customFormat="false" ht="15" hidden="false" customHeight="false" outlineLevel="0" collapsed="false">
      <c r="A345" s="2" t="n">
        <v>46225</v>
      </c>
      <c r="B345" s="3" t="s">
        <v>52</v>
      </c>
      <c r="C345" s="3" t="s">
        <v>11</v>
      </c>
      <c r="D345" s="3" t="n">
        <v>370</v>
      </c>
    </row>
    <row r="346" customFormat="false" ht="15" hidden="false" customHeight="false" outlineLevel="0" collapsed="false">
      <c r="A346" s="2" t="n">
        <v>46225</v>
      </c>
      <c r="B346" s="3" t="s">
        <v>53</v>
      </c>
      <c r="C346" s="3" t="s">
        <v>39</v>
      </c>
      <c r="D346" s="3" t="n">
        <v>645</v>
      </c>
    </row>
    <row r="347" customFormat="false" ht="15" hidden="false" customHeight="false" outlineLevel="0" collapsed="false">
      <c r="A347" s="2" t="n">
        <v>46225</v>
      </c>
      <c r="B347" s="3" t="s">
        <v>53</v>
      </c>
      <c r="C347" s="3" t="s">
        <v>14</v>
      </c>
      <c r="D347" s="3" t="n">
        <v>2</v>
      </c>
    </row>
    <row r="348" customFormat="false" ht="15" hidden="false" customHeight="false" outlineLevel="0" collapsed="false">
      <c r="A348" s="2" t="n">
        <v>46225</v>
      </c>
      <c r="B348" s="3" t="s">
        <v>54</v>
      </c>
      <c r="C348" s="3" t="s">
        <v>14</v>
      </c>
      <c r="D348" s="3" t="n">
        <v>3</v>
      </c>
    </row>
    <row r="349" customFormat="false" ht="15" hidden="false" customHeight="false" outlineLevel="0" collapsed="false">
      <c r="A349" s="2" t="n">
        <v>46225</v>
      </c>
      <c r="B349" s="3" t="s">
        <v>54</v>
      </c>
      <c r="C349" s="3" t="s">
        <v>38</v>
      </c>
      <c r="D349" s="3" t="n">
        <v>4916</v>
      </c>
    </row>
    <row r="350" customFormat="false" ht="15" hidden="false" customHeight="false" outlineLevel="0" collapsed="false">
      <c r="A350" s="2" t="n">
        <v>46225</v>
      </c>
      <c r="B350" s="3" t="s">
        <v>54</v>
      </c>
      <c r="C350" s="3" t="s">
        <v>39</v>
      </c>
      <c r="D350" s="3" t="n">
        <v>7081</v>
      </c>
    </row>
    <row r="351" customFormat="false" ht="15" hidden="false" customHeight="false" outlineLevel="0" collapsed="false">
      <c r="A351" s="2" t="n">
        <v>46225</v>
      </c>
      <c r="B351" s="3" t="s">
        <v>55</v>
      </c>
      <c r="C351" s="3" t="s">
        <v>40</v>
      </c>
      <c r="D351" s="3" t="n">
        <v>1055</v>
      </c>
    </row>
    <row r="352" customFormat="false" ht="15" hidden="false" customHeight="false" outlineLevel="0" collapsed="false">
      <c r="A352" s="2" t="n">
        <v>46225</v>
      </c>
      <c r="B352" s="3" t="s">
        <v>56</v>
      </c>
      <c r="C352" s="3" t="s">
        <v>39</v>
      </c>
      <c r="D352" s="3" t="n">
        <v>1092</v>
      </c>
    </row>
    <row r="353" customFormat="false" ht="15" hidden="false" customHeight="false" outlineLevel="0" collapsed="false">
      <c r="A353" s="2" t="n">
        <v>46225</v>
      </c>
      <c r="B353" s="3" t="s">
        <v>56</v>
      </c>
      <c r="C353" s="3" t="s">
        <v>14</v>
      </c>
      <c r="D353" s="3" t="n">
        <v>2</v>
      </c>
    </row>
    <row r="354" customFormat="false" ht="15" hidden="false" customHeight="false" outlineLevel="0" collapsed="false">
      <c r="A354" s="2" t="n">
        <v>46225</v>
      </c>
      <c r="B354" s="3" t="s">
        <v>57</v>
      </c>
      <c r="C354" s="3" t="s">
        <v>14</v>
      </c>
      <c r="D354" s="3" t="n">
        <v>3</v>
      </c>
    </row>
    <row r="355" customFormat="false" ht="15" hidden="false" customHeight="false" outlineLevel="0" collapsed="false">
      <c r="A355" s="2" t="n">
        <v>46225</v>
      </c>
      <c r="B355" s="3" t="s">
        <v>57</v>
      </c>
      <c r="C355" s="3" t="s">
        <v>38</v>
      </c>
      <c r="D355" s="3" t="n">
        <v>72</v>
      </c>
    </row>
    <row r="356" customFormat="false" ht="15" hidden="false" customHeight="false" outlineLevel="0" collapsed="false">
      <c r="A356" s="2" t="n">
        <v>46225</v>
      </c>
      <c r="B356" s="3" t="s">
        <v>57</v>
      </c>
      <c r="C356" s="3" t="s">
        <v>39</v>
      </c>
      <c r="D356" s="3" t="n">
        <v>3</v>
      </c>
    </row>
    <row r="357" customFormat="false" ht="15" hidden="false" customHeight="false" outlineLevel="0" collapsed="false">
      <c r="A357" s="2" t="n">
        <v>46225</v>
      </c>
      <c r="B357" s="3" t="s">
        <v>58</v>
      </c>
      <c r="C357" s="3" t="s">
        <v>39</v>
      </c>
      <c r="D357" s="3" t="n">
        <v>59</v>
      </c>
    </row>
    <row r="358" customFormat="false" ht="15" hidden="false" customHeight="false" outlineLevel="0" collapsed="false">
      <c r="A358" s="2" t="n">
        <v>46225</v>
      </c>
      <c r="B358" s="3" t="s">
        <v>58</v>
      </c>
      <c r="C358" s="3" t="s">
        <v>14</v>
      </c>
      <c r="D358" s="3" t="n">
        <v>2</v>
      </c>
    </row>
    <row r="359" customFormat="false" ht="15" hidden="false" customHeight="false" outlineLevel="0" collapsed="false">
      <c r="A359" s="2" t="n">
        <v>46225</v>
      </c>
      <c r="B359" s="3" t="s">
        <v>59</v>
      </c>
      <c r="C359" s="3" t="s">
        <v>14</v>
      </c>
      <c r="D359" s="3" t="n">
        <v>2</v>
      </c>
    </row>
    <row r="360" customFormat="false" ht="15" hidden="false" customHeight="false" outlineLevel="0" collapsed="false">
      <c r="A360" s="2" t="n">
        <v>46225</v>
      </c>
      <c r="B360" s="3" t="s">
        <v>59</v>
      </c>
      <c r="C360" s="3" t="s">
        <v>39</v>
      </c>
      <c r="D360" s="3" t="n">
        <v>7</v>
      </c>
    </row>
    <row r="361" customFormat="false" ht="15" hidden="false" customHeight="false" outlineLevel="0" collapsed="false">
      <c r="A361" s="2" t="n">
        <v>46225</v>
      </c>
      <c r="B361" s="3" t="s">
        <v>60</v>
      </c>
      <c r="C361" s="3" t="s">
        <v>38</v>
      </c>
      <c r="D361" s="3" t="n">
        <v>635</v>
      </c>
    </row>
    <row r="362" customFormat="false" ht="15" hidden="false" customHeight="false" outlineLevel="0" collapsed="false">
      <c r="A362" s="2" t="n">
        <v>46225</v>
      </c>
      <c r="B362" s="3" t="s">
        <v>60</v>
      </c>
      <c r="C362" s="3" t="s">
        <v>39</v>
      </c>
      <c r="D362" s="3" t="n">
        <v>1364</v>
      </c>
    </row>
    <row r="363" customFormat="false" ht="15" hidden="false" customHeight="false" outlineLevel="0" collapsed="false">
      <c r="A363" s="2" t="n">
        <v>46225</v>
      </c>
      <c r="B363" s="3" t="s">
        <v>60</v>
      </c>
      <c r="C363" s="3" t="s">
        <v>14</v>
      </c>
      <c r="D363" s="3" t="n">
        <v>3</v>
      </c>
    </row>
    <row r="364" customFormat="false" ht="15" hidden="false" customHeight="false" outlineLevel="0" collapsed="false">
      <c r="A364" s="2" t="n">
        <v>46225</v>
      </c>
      <c r="B364" s="3" t="s">
        <v>61</v>
      </c>
      <c r="C364" s="3" t="s">
        <v>14</v>
      </c>
      <c r="D364" s="3" t="n">
        <v>3</v>
      </c>
    </row>
    <row r="365" customFormat="false" ht="15" hidden="false" customHeight="false" outlineLevel="0" collapsed="false">
      <c r="A365" s="2" t="n">
        <v>46225</v>
      </c>
      <c r="B365" s="3" t="s">
        <v>61</v>
      </c>
      <c r="C365" s="3" t="s">
        <v>38</v>
      </c>
      <c r="D365" s="3" t="n">
        <v>60</v>
      </c>
    </row>
    <row r="366" customFormat="false" ht="15" hidden="false" customHeight="false" outlineLevel="0" collapsed="false">
      <c r="A366" s="2" t="n">
        <v>46225</v>
      </c>
      <c r="B366" s="3" t="s">
        <v>61</v>
      </c>
      <c r="C366" s="3" t="s">
        <v>39</v>
      </c>
      <c r="D366" s="3" t="n">
        <v>111</v>
      </c>
    </row>
    <row r="367" customFormat="false" ht="15" hidden="false" customHeight="false" outlineLevel="0" collapsed="false">
      <c r="A367" s="2" t="n">
        <v>46225</v>
      </c>
      <c r="B367" s="3" t="s">
        <v>62</v>
      </c>
      <c r="C367" s="3" t="s">
        <v>38</v>
      </c>
      <c r="D367" s="3" t="n">
        <v>3836</v>
      </c>
    </row>
    <row r="368" customFormat="false" ht="15" hidden="false" customHeight="false" outlineLevel="0" collapsed="false">
      <c r="A368" s="2" t="n">
        <v>46225</v>
      </c>
      <c r="B368" s="3" t="s">
        <v>62</v>
      </c>
      <c r="C368" s="3" t="s">
        <v>39</v>
      </c>
      <c r="D368" s="3" t="n">
        <v>432</v>
      </c>
    </row>
    <row r="369" customFormat="false" ht="15" hidden="false" customHeight="false" outlineLevel="0" collapsed="false">
      <c r="A369" s="2" t="n">
        <v>46225</v>
      </c>
      <c r="B369" s="3" t="s">
        <v>62</v>
      </c>
      <c r="C369" s="3" t="s">
        <v>14</v>
      </c>
      <c r="D369" s="3" t="n">
        <v>1</v>
      </c>
    </row>
    <row r="370" customFormat="false" ht="15" hidden="false" customHeight="false" outlineLevel="0" collapsed="false">
      <c r="A370" s="2" t="n">
        <v>46225</v>
      </c>
      <c r="B370" s="3" t="s">
        <v>63</v>
      </c>
      <c r="C370" s="3" t="s">
        <v>40</v>
      </c>
      <c r="D370" s="3" t="n">
        <v>4381</v>
      </c>
    </row>
    <row r="371" customFormat="false" ht="15" hidden="false" customHeight="false" outlineLevel="0" collapsed="false">
      <c r="A371" s="2" t="n">
        <v>46225</v>
      </c>
      <c r="B371" s="3" t="s">
        <v>64</v>
      </c>
      <c r="C371" s="3" t="s">
        <v>40</v>
      </c>
      <c r="D371" s="3" t="n">
        <v>13</v>
      </c>
    </row>
    <row r="372" customFormat="false" ht="15" hidden="false" customHeight="false" outlineLevel="0" collapsed="false">
      <c r="A372" s="2" t="n">
        <v>46225</v>
      </c>
      <c r="B372" s="3" t="s">
        <v>65</v>
      </c>
      <c r="C372" s="3" t="s">
        <v>40</v>
      </c>
      <c r="D372" s="3" t="n">
        <v>29</v>
      </c>
    </row>
    <row r="373" customFormat="false" ht="15" hidden="false" customHeight="false" outlineLevel="0" collapsed="false">
      <c r="A373" s="2" t="n">
        <v>46225</v>
      </c>
      <c r="B373" s="3" t="s">
        <v>66</v>
      </c>
      <c r="C373" s="3" t="s">
        <v>40</v>
      </c>
      <c r="D373" s="3" t="n">
        <v>14</v>
      </c>
    </row>
    <row r="374" customFormat="false" ht="15" hidden="false" customHeight="false" outlineLevel="0" collapsed="false">
      <c r="A374" s="2" t="n">
        <v>46225</v>
      </c>
      <c r="B374" s="3" t="s">
        <v>67</v>
      </c>
      <c r="C374" s="3" t="s">
        <v>20</v>
      </c>
      <c r="D374" s="3" t="n">
        <v>3570</v>
      </c>
    </row>
    <row r="375" customFormat="false" ht="15" hidden="false" customHeight="false" outlineLevel="0" collapsed="false">
      <c r="A375" s="2" t="n">
        <v>46225</v>
      </c>
      <c r="B375" s="3" t="s">
        <v>67</v>
      </c>
      <c r="C375" s="3" t="s">
        <v>22</v>
      </c>
      <c r="D375" s="3" t="n">
        <v>3</v>
      </c>
    </row>
    <row r="376" customFormat="false" ht="15" hidden="false" customHeight="false" outlineLevel="0" collapsed="false">
      <c r="A376" s="2" t="n">
        <v>46225</v>
      </c>
      <c r="B376" s="3" t="s">
        <v>67</v>
      </c>
      <c r="C376" s="3" t="s">
        <v>32</v>
      </c>
      <c r="D376" s="3" t="n">
        <v>1569</v>
      </c>
    </row>
    <row r="377" customFormat="false" ht="15" hidden="false" customHeight="false" outlineLevel="0" collapsed="false">
      <c r="A377" s="2" t="n">
        <v>46225</v>
      </c>
      <c r="B377" s="3" t="s">
        <v>67</v>
      </c>
      <c r="C377" s="3" t="s">
        <v>33</v>
      </c>
      <c r="D377" s="3" t="n">
        <v>18980</v>
      </c>
    </row>
    <row r="378" customFormat="false" ht="15" hidden="false" customHeight="false" outlineLevel="0" collapsed="false">
      <c r="A378" s="2" t="n">
        <v>46225</v>
      </c>
      <c r="B378" s="3" t="s">
        <v>67</v>
      </c>
      <c r="C378" s="3" t="s">
        <v>34</v>
      </c>
      <c r="D378" s="3" t="n">
        <v>17411</v>
      </c>
    </row>
    <row r="379" customFormat="false" ht="15" hidden="false" customHeight="false" outlineLevel="0" collapsed="false">
      <c r="A379" s="2" t="n">
        <v>46225</v>
      </c>
      <c r="B379" s="3" t="s">
        <v>68</v>
      </c>
      <c r="C379" s="3" t="s">
        <v>11</v>
      </c>
      <c r="D379" s="3" t="n">
        <v>432</v>
      </c>
    </row>
    <row r="380" customFormat="false" ht="15" hidden="false" customHeight="false" outlineLevel="0" collapsed="false">
      <c r="A380" s="2" t="n">
        <v>46225</v>
      </c>
      <c r="B380" s="3" t="s">
        <v>69</v>
      </c>
      <c r="C380" s="3" t="s">
        <v>70</v>
      </c>
      <c r="D380" s="3" t="n">
        <v>3</v>
      </c>
    </row>
    <row r="381" customFormat="false" ht="15" hidden="false" customHeight="false" outlineLevel="0" collapsed="false">
      <c r="A381" s="2" t="n">
        <v>46225</v>
      </c>
      <c r="B381" s="3" t="s">
        <v>69</v>
      </c>
      <c r="C381" s="3" t="s">
        <v>11</v>
      </c>
      <c r="D381" s="3" t="n">
        <v>49945</v>
      </c>
    </row>
    <row r="382" customFormat="false" ht="15" hidden="false" customHeight="false" outlineLevel="0" collapsed="false">
      <c r="A382" s="2" t="n">
        <v>46225</v>
      </c>
      <c r="B382" s="3" t="s">
        <v>71</v>
      </c>
      <c r="C382" s="3" t="s">
        <v>42</v>
      </c>
      <c r="D382" s="3" t="n">
        <v>6</v>
      </c>
    </row>
    <row r="383" customFormat="false" ht="15" hidden="false" customHeight="false" outlineLevel="0" collapsed="false">
      <c r="A383" s="2" t="n">
        <v>46225</v>
      </c>
      <c r="B383" s="3" t="s">
        <v>71</v>
      </c>
      <c r="C383" s="3" t="s">
        <v>14</v>
      </c>
      <c r="D383" s="3" t="n">
        <v>20408</v>
      </c>
    </row>
    <row r="384" customFormat="false" ht="15" hidden="false" customHeight="false" outlineLevel="0" collapsed="false">
      <c r="A384" s="2" t="n">
        <v>46225</v>
      </c>
      <c r="B384" s="3" t="s">
        <v>71</v>
      </c>
      <c r="C384" s="3" t="s">
        <v>37</v>
      </c>
      <c r="D384" s="3" t="n">
        <v>1</v>
      </c>
    </row>
    <row r="385" customFormat="false" ht="15" hidden="false" customHeight="false" outlineLevel="0" collapsed="false">
      <c r="A385" s="2" t="n">
        <v>46225</v>
      </c>
      <c r="B385" s="3" t="s">
        <v>71</v>
      </c>
      <c r="C385" s="3" t="s">
        <v>38</v>
      </c>
      <c r="D385" s="3" t="n">
        <v>20287</v>
      </c>
    </row>
    <row r="386" customFormat="false" ht="15" hidden="false" customHeight="false" outlineLevel="0" collapsed="false">
      <c r="A386" s="2" t="n">
        <v>46225</v>
      </c>
      <c r="B386" s="3" t="s">
        <v>71</v>
      </c>
      <c r="C386" s="3" t="s">
        <v>39</v>
      </c>
      <c r="D386" s="3" t="n">
        <v>4967</v>
      </c>
    </row>
    <row r="387" customFormat="false" ht="15" hidden="false" customHeight="false" outlineLevel="0" collapsed="false">
      <c r="A387" s="2" t="n">
        <v>46225</v>
      </c>
      <c r="B387" s="3" t="s">
        <v>72</v>
      </c>
      <c r="C387" s="3" t="s">
        <v>40</v>
      </c>
      <c r="D387" s="3" t="n">
        <v>854</v>
      </c>
    </row>
    <row r="388" customFormat="false" ht="15" hidden="false" customHeight="false" outlineLevel="0" collapsed="false">
      <c r="A388" s="2" t="n">
        <v>46225</v>
      </c>
      <c r="B388" s="3" t="s">
        <v>73</v>
      </c>
      <c r="C388" s="3" t="s">
        <v>40</v>
      </c>
      <c r="D388" s="3" t="n">
        <v>132</v>
      </c>
    </row>
    <row r="389" customFormat="false" ht="15" hidden="false" customHeight="false" outlineLevel="0" collapsed="false">
      <c r="A389" s="2" t="n">
        <v>46225</v>
      </c>
      <c r="B389" s="3" t="s">
        <v>113</v>
      </c>
      <c r="C389" s="3" t="s">
        <v>40</v>
      </c>
      <c r="D389" s="3" t="n">
        <v>1</v>
      </c>
    </row>
    <row r="390" customFormat="false" ht="15" hidden="false" customHeight="false" outlineLevel="0" collapsed="false">
      <c r="A390" s="2" t="n">
        <v>46225</v>
      </c>
      <c r="B390" s="3" t="s">
        <v>74</v>
      </c>
      <c r="C390" s="3" t="s">
        <v>16</v>
      </c>
      <c r="D390" s="3" t="n">
        <v>19</v>
      </c>
    </row>
    <row r="391" customFormat="false" ht="15" hidden="false" customHeight="false" outlineLevel="0" collapsed="false">
      <c r="A391" s="2" t="n">
        <v>46225</v>
      </c>
      <c r="B391" s="3" t="s">
        <v>75</v>
      </c>
      <c r="C391" s="3" t="s">
        <v>11</v>
      </c>
      <c r="D391" s="3" t="n">
        <v>4520</v>
      </c>
    </row>
    <row r="392" customFormat="false" ht="15" hidden="false" customHeight="false" outlineLevel="0" collapsed="false">
      <c r="A392" s="2" t="n">
        <v>46225</v>
      </c>
      <c r="B392" s="3" t="s">
        <v>76</v>
      </c>
      <c r="C392" s="3" t="s">
        <v>11</v>
      </c>
      <c r="D392" s="3" t="n">
        <v>1536</v>
      </c>
    </row>
    <row r="393" customFormat="false" ht="15" hidden="false" customHeight="false" outlineLevel="0" collapsed="false">
      <c r="A393" s="2" t="n">
        <v>46225</v>
      </c>
      <c r="B393" s="3" t="s">
        <v>77</v>
      </c>
      <c r="C393" s="3" t="s">
        <v>23</v>
      </c>
      <c r="D393" s="3" t="n">
        <v>170</v>
      </c>
    </row>
    <row r="394" customFormat="false" ht="15" hidden="false" customHeight="false" outlineLevel="0" collapsed="false">
      <c r="A394" s="2" t="n">
        <v>46225</v>
      </c>
      <c r="B394" s="3" t="s">
        <v>77</v>
      </c>
      <c r="C394" s="3" t="s">
        <v>35</v>
      </c>
      <c r="D394" s="3" t="n">
        <v>1442</v>
      </c>
    </row>
    <row r="395" customFormat="false" ht="15" hidden="false" customHeight="false" outlineLevel="0" collapsed="false">
      <c r="A395" s="2" t="n">
        <v>46225</v>
      </c>
      <c r="B395" s="3" t="s">
        <v>77</v>
      </c>
      <c r="C395" s="3" t="s">
        <v>24</v>
      </c>
      <c r="D395" s="3" t="n">
        <v>18</v>
      </c>
    </row>
    <row r="396" customFormat="false" ht="15" hidden="false" customHeight="false" outlineLevel="0" collapsed="false">
      <c r="A396" s="2" t="n">
        <v>46225</v>
      </c>
      <c r="B396" s="3" t="s">
        <v>77</v>
      </c>
      <c r="C396" s="3" t="s">
        <v>78</v>
      </c>
      <c r="D396" s="3" t="n">
        <v>620</v>
      </c>
    </row>
    <row r="397" customFormat="false" ht="15" hidden="false" customHeight="false" outlineLevel="0" collapsed="false">
      <c r="A397" s="2" t="n">
        <v>46225</v>
      </c>
      <c r="B397" s="3" t="s">
        <v>77</v>
      </c>
      <c r="C397" s="3" t="s">
        <v>20</v>
      </c>
      <c r="D397" s="3" t="n">
        <v>1</v>
      </c>
    </row>
    <row r="398" customFormat="false" ht="15" hidden="false" customHeight="false" outlineLevel="0" collapsed="false">
      <c r="A398" s="2" t="n">
        <v>46225</v>
      </c>
      <c r="B398" s="3" t="s">
        <v>77</v>
      </c>
      <c r="C398" s="3" t="s">
        <v>21</v>
      </c>
      <c r="D398" s="3" t="n">
        <v>9</v>
      </c>
    </row>
    <row r="399" customFormat="false" ht="15" hidden="false" customHeight="false" outlineLevel="0" collapsed="false">
      <c r="A399" s="2" t="n">
        <v>46225</v>
      </c>
      <c r="B399" s="3" t="s">
        <v>77</v>
      </c>
      <c r="C399" s="3" t="s">
        <v>22</v>
      </c>
      <c r="D399" s="3" t="n">
        <v>1</v>
      </c>
    </row>
    <row r="400" customFormat="false" ht="15" hidden="false" customHeight="false" outlineLevel="0" collapsed="false">
      <c r="A400" s="2" t="n">
        <v>46225</v>
      </c>
      <c r="B400" s="3" t="s">
        <v>79</v>
      </c>
      <c r="C400" s="3" t="s">
        <v>14</v>
      </c>
      <c r="D400" s="3" t="n">
        <v>1</v>
      </c>
    </row>
    <row r="401" customFormat="false" ht="15" hidden="false" customHeight="false" outlineLevel="0" collapsed="false">
      <c r="A401" s="2" t="n">
        <v>46225</v>
      </c>
      <c r="B401" s="3" t="s">
        <v>80</v>
      </c>
      <c r="C401" s="3" t="s">
        <v>14</v>
      </c>
      <c r="D401" s="3" t="n">
        <v>82</v>
      </c>
    </row>
    <row r="402" customFormat="false" ht="15" hidden="false" customHeight="false" outlineLevel="0" collapsed="false">
      <c r="A402" s="2" t="n">
        <v>46225</v>
      </c>
      <c r="B402" s="3" t="s">
        <v>80</v>
      </c>
      <c r="C402" s="3" t="s">
        <v>40</v>
      </c>
      <c r="D402" s="3" t="n">
        <v>108</v>
      </c>
    </row>
    <row r="403" customFormat="false" ht="15" hidden="false" customHeight="false" outlineLevel="0" collapsed="false">
      <c r="A403" s="2" t="n">
        <v>46225</v>
      </c>
      <c r="B403" s="3" t="s">
        <v>81</v>
      </c>
      <c r="C403" s="3" t="s">
        <v>40</v>
      </c>
      <c r="D403" s="3" t="n">
        <v>3418</v>
      </c>
    </row>
    <row r="404" customFormat="false" ht="15" hidden="false" customHeight="false" outlineLevel="0" collapsed="false">
      <c r="A404" s="2" t="n">
        <v>46225</v>
      </c>
      <c r="B404" s="3" t="s">
        <v>82</v>
      </c>
      <c r="C404" s="3" t="s">
        <v>16</v>
      </c>
      <c r="D404" s="3" t="n">
        <v>13</v>
      </c>
    </row>
    <row r="405" customFormat="false" ht="15" hidden="false" customHeight="false" outlineLevel="0" collapsed="false">
      <c r="A405" s="2" t="n">
        <v>46225</v>
      </c>
      <c r="B405" s="3" t="s">
        <v>83</v>
      </c>
      <c r="C405" s="3" t="s">
        <v>16</v>
      </c>
      <c r="D405" s="3" t="n">
        <v>29</v>
      </c>
    </row>
    <row r="406" customFormat="false" ht="15" hidden="false" customHeight="false" outlineLevel="0" collapsed="false">
      <c r="A406" s="2" t="n">
        <v>46225</v>
      </c>
      <c r="B406" s="3" t="s">
        <v>84</v>
      </c>
      <c r="C406" s="3" t="s">
        <v>11</v>
      </c>
      <c r="D406" s="3" t="n">
        <v>13396</v>
      </c>
    </row>
    <row r="407" customFormat="false" ht="15" hidden="false" customHeight="false" outlineLevel="0" collapsed="false">
      <c r="A407" s="2" t="n">
        <v>46225</v>
      </c>
      <c r="B407" s="3" t="s">
        <v>92</v>
      </c>
      <c r="C407" s="3" t="s">
        <v>40</v>
      </c>
      <c r="D407" s="3" t="n">
        <v>12</v>
      </c>
    </row>
    <row r="408" customFormat="false" ht="15" hidden="false" customHeight="false" outlineLevel="0" collapsed="false">
      <c r="A408" s="2" t="n">
        <v>46225</v>
      </c>
      <c r="B408" s="3" t="s">
        <v>92</v>
      </c>
      <c r="C408" s="3" t="s">
        <v>11</v>
      </c>
      <c r="D408" s="3" t="n">
        <v>1</v>
      </c>
    </row>
    <row r="409" customFormat="false" ht="15" hidden="false" customHeight="false" outlineLevel="0" collapsed="false">
      <c r="A409" s="2" t="n">
        <v>46225</v>
      </c>
      <c r="B409" s="3" t="s">
        <v>93</v>
      </c>
      <c r="C409" s="3" t="s">
        <v>9</v>
      </c>
      <c r="D409" s="3" t="n">
        <v>9</v>
      </c>
    </row>
    <row r="410" customFormat="false" ht="15" hidden="false" customHeight="false" outlineLevel="0" collapsed="false">
      <c r="A410" s="2" t="n">
        <v>46225</v>
      </c>
      <c r="B410" s="3" t="s">
        <v>94</v>
      </c>
      <c r="C410" s="3" t="s">
        <v>11</v>
      </c>
      <c r="D410" s="3" t="n">
        <v>46</v>
      </c>
    </row>
    <row r="411" customFormat="false" ht="15" hidden="false" customHeight="false" outlineLevel="0" collapsed="false">
      <c r="A411" s="2" t="n">
        <v>46225</v>
      </c>
      <c r="B411" s="3" t="s">
        <v>95</v>
      </c>
      <c r="C411" s="3" t="s">
        <v>11</v>
      </c>
      <c r="D411" s="3" t="n">
        <v>105</v>
      </c>
    </row>
    <row r="412" customFormat="false" ht="15" hidden="false" customHeight="false" outlineLevel="0" collapsed="false">
      <c r="A412" s="2" t="n">
        <v>46225</v>
      </c>
      <c r="B412" s="3" t="s">
        <v>96</v>
      </c>
      <c r="C412" s="3" t="s">
        <v>40</v>
      </c>
      <c r="D412" s="3" t="n">
        <v>158</v>
      </c>
    </row>
    <row r="413" customFormat="false" ht="15" hidden="false" customHeight="false" outlineLevel="0" collapsed="false">
      <c r="A413" s="2" t="n">
        <v>46225</v>
      </c>
      <c r="B413" s="3" t="s">
        <v>97</v>
      </c>
      <c r="C413" s="3" t="s">
        <v>98</v>
      </c>
      <c r="D413" s="3" t="n">
        <v>10</v>
      </c>
    </row>
    <row r="414" customFormat="false" ht="15" hidden="false" customHeight="false" outlineLevel="0" collapsed="false">
      <c r="A414" s="2" t="n">
        <v>46225</v>
      </c>
      <c r="B414" s="3" t="s">
        <v>97</v>
      </c>
      <c r="C414" s="3" t="s">
        <v>99</v>
      </c>
      <c r="D414" s="3" t="n">
        <v>21</v>
      </c>
    </row>
    <row r="415" customFormat="false" ht="15" hidden="false" customHeight="false" outlineLevel="0" collapsed="false">
      <c r="A415" s="2" t="n">
        <v>46225</v>
      </c>
      <c r="B415" s="3" t="s">
        <v>97</v>
      </c>
      <c r="C415" s="3" t="s">
        <v>100</v>
      </c>
      <c r="D415" s="3" t="n">
        <v>69</v>
      </c>
    </row>
    <row r="416" customFormat="false" ht="15" hidden="false" customHeight="false" outlineLevel="0" collapsed="false">
      <c r="A416" s="2" t="n">
        <v>46225</v>
      </c>
      <c r="B416" s="3" t="s">
        <v>97</v>
      </c>
      <c r="C416" s="3" t="s">
        <v>101</v>
      </c>
      <c r="D416" s="3" t="n">
        <v>35</v>
      </c>
    </row>
    <row r="417" customFormat="false" ht="15" hidden="false" customHeight="false" outlineLevel="0" collapsed="false">
      <c r="A417" s="2" t="n">
        <v>46225</v>
      </c>
      <c r="B417" s="3" t="s">
        <v>97</v>
      </c>
      <c r="C417" s="3" t="s">
        <v>102</v>
      </c>
      <c r="D417" s="3" t="n">
        <v>4</v>
      </c>
    </row>
    <row r="418" customFormat="false" ht="15" hidden="false" customHeight="false" outlineLevel="0" collapsed="false">
      <c r="A418" s="2" t="n">
        <v>46225</v>
      </c>
      <c r="B418" s="3" t="s">
        <v>103</v>
      </c>
      <c r="C418" s="3" t="s">
        <v>16</v>
      </c>
      <c r="D418" s="3" t="n">
        <v>12</v>
      </c>
    </row>
    <row r="419" customFormat="false" ht="15" hidden="false" customHeight="false" outlineLevel="0" collapsed="false">
      <c r="A419" s="2" t="n">
        <v>46225</v>
      </c>
      <c r="B419" s="3" t="s">
        <v>104</v>
      </c>
      <c r="C419" s="3" t="s">
        <v>16</v>
      </c>
      <c r="D419" s="3" t="n">
        <v>99</v>
      </c>
    </row>
    <row r="420" customFormat="false" ht="15" hidden="false" customHeight="false" outlineLevel="0" collapsed="false">
      <c r="A420" s="2" t="n">
        <v>46225</v>
      </c>
      <c r="B420" s="3" t="s">
        <v>105</v>
      </c>
      <c r="C420" s="3" t="s">
        <v>11</v>
      </c>
      <c r="D420" s="3" t="n">
        <v>1769</v>
      </c>
    </row>
    <row r="421" customFormat="false" ht="15" hidden="false" customHeight="false" outlineLevel="0" collapsed="false">
      <c r="A421" s="2" t="n">
        <v>46225</v>
      </c>
      <c r="B421" s="3" t="s">
        <v>106</v>
      </c>
      <c r="C421" s="3" t="s">
        <v>16</v>
      </c>
      <c r="D421" s="3" t="n">
        <v>354</v>
      </c>
    </row>
    <row r="422" customFormat="false" ht="15" hidden="false" customHeight="false" outlineLevel="0" collapsed="false">
      <c r="A422" s="2" t="n">
        <v>46225</v>
      </c>
      <c r="B422" s="3" t="s">
        <v>107</v>
      </c>
      <c r="C422" s="3" t="s">
        <v>11</v>
      </c>
      <c r="D422" s="3" t="n">
        <v>1</v>
      </c>
    </row>
    <row r="423" customFormat="false" ht="15" hidden="false" customHeight="false" outlineLevel="0" collapsed="false">
      <c r="A423" s="2" t="n">
        <v>46226</v>
      </c>
      <c r="B423" s="3"/>
      <c r="C423" s="3"/>
      <c r="D423" s="3" t="n">
        <v>1</v>
      </c>
    </row>
    <row r="424" customFormat="false" ht="15" hidden="false" customHeight="false" outlineLevel="0" collapsed="false">
      <c r="A424" s="2" t="n">
        <v>46226</v>
      </c>
      <c r="B424" s="3" t="s">
        <v>4</v>
      </c>
      <c r="C424" s="3" t="s">
        <v>5</v>
      </c>
      <c r="D424" s="3" t="n">
        <v>5</v>
      </c>
    </row>
    <row r="425" customFormat="false" ht="15" hidden="false" customHeight="false" outlineLevel="0" collapsed="false">
      <c r="A425" s="2" t="n">
        <v>46226</v>
      </c>
      <c r="B425" s="3" t="s">
        <v>4</v>
      </c>
      <c r="C425" s="3" t="s">
        <v>6</v>
      </c>
      <c r="D425" s="3" t="n">
        <v>13</v>
      </c>
    </row>
    <row r="426" customFormat="false" ht="15" hidden="false" customHeight="false" outlineLevel="0" collapsed="false">
      <c r="A426" s="2" t="n">
        <v>46226</v>
      </c>
      <c r="B426" s="3" t="s">
        <v>4</v>
      </c>
      <c r="C426" s="3" t="s">
        <v>7</v>
      </c>
      <c r="D426" s="3" t="n">
        <v>1</v>
      </c>
    </row>
    <row r="427" customFormat="false" ht="15" hidden="false" customHeight="false" outlineLevel="0" collapsed="false">
      <c r="A427" s="2" t="n">
        <v>46226</v>
      </c>
      <c r="B427" s="3" t="s">
        <v>4</v>
      </c>
      <c r="C427" s="3" t="s">
        <v>8</v>
      </c>
      <c r="D427" s="3" t="n">
        <v>427</v>
      </c>
    </row>
    <row r="428" customFormat="false" ht="15" hidden="false" customHeight="false" outlineLevel="0" collapsed="false">
      <c r="A428" s="2" t="n">
        <v>46226</v>
      </c>
      <c r="B428" s="3" t="s">
        <v>112</v>
      </c>
      <c r="C428" s="3" t="s">
        <v>23</v>
      </c>
      <c r="D428" s="3" t="n">
        <v>2</v>
      </c>
    </row>
    <row r="429" customFormat="false" ht="15" hidden="false" customHeight="false" outlineLevel="0" collapsed="false">
      <c r="A429" s="2" t="n">
        <v>46226</v>
      </c>
      <c r="B429" s="3" t="s">
        <v>10</v>
      </c>
      <c r="C429" s="3" t="s">
        <v>14</v>
      </c>
      <c r="D429" s="3" t="n">
        <v>2</v>
      </c>
    </row>
    <row r="430" customFormat="false" ht="15" hidden="false" customHeight="false" outlineLevel="0" collapsed="false">
      <c r="A430" s="2" t="n">
        <v>46226</v>
      </c>
      <c r="B430" s="3" t="s">
        <v>10</v>
      </c>
      <c r="C430" s="3" t="s">
        <v>26</v>
      </c>
      <c r="D430" s="3" t="n">
        <v>1</v>
      </c>
    </row>
    <row r="431" customFormat="false" ht="15" hidden="false" customHeight="false" outlineLevel="0" collapsed="false">
      <c r="A431" s="2" t="n">
        <v>46226</v>
      </c>
      <c r="B431" s="3" t="s">
        <v>10</v>
      </c>
      <c r="C431" s="3" t="s">
        <v>28</v>
      </c>
      <c r="D431" s="3" t="n">
        <v>1</v>
      </c>
    </row>
    <row r="432" customFormat="false" ht="15" hidden="false" customHeight="false" outlineLevel="0" collapsed="false">
      <c r="A432" s="2" t="n">
        <v>46226</v>
      </c>
      <c r="B432" s="3" t="s">
        <v>10</v>
      </c>
      <c r="C432" s="3" t="s">
        <v>11</v>
      </c>
      <c r="D432" s="3" t="n">
        <v>2</v>
      </c>
    </row>
    <row r="433" customFormat="false" ht="15" hidden="false" customHeight="false" outlineLevel="0" collapsed="false">
      <c r="A433" s="2" t="n">
        <v>46226</v>
      </c>
      <c r="B433" s="3" t="s">
        <v>12</v>
      </c>
      <c r="C433" s="3" t="s">
        <v>13</v>
      </c>
      <c r="D433" s="3" t="n">
        <v>108922</v>
      </c>
    </row>
    <row r="434" customFormat="false" ht="15" hidden="false" customHeight="false" outlineLevel="0" collapsed="false">
      <c r="A434" s="2" t="n">
        <v>46226</v>
      </c>
      <c r="B434" s="3" t="s">
        <v>12</v>
      </c>
      <c r="C434" s="3" t="s">
        <v>14</v>
      </c>
      <c r="D434" s="3" t="n">
        <v>4</v>
      </c>
    </row>
    <row r="435" customFormat="false" ht="15" hidden="false" customHeight="false" outlineLevel="0" collapsed="false">
      <c r="A435" s="2" t="n">
        <v>46226</v>
      </c>
      <c r="B435" s="3" t="s">
        <v>15</v>
      </c>
      <c r="C435" s="3" t="s">
        <v>16</v>
      </c>
      <c r="D435" s="3" t="n">
        <v>19</v>
      </c>
    </row>
    <row r="436" customFormat="false" ht="15" hidden="false" customHeight="false" outlineLevel="0" collapsed="false">
      <c r="A436" s="2" t="n">
        <v>46226</v>
      </c>
      <c r="B436" s="3" t="s">
        <v>17</v>
      </c>
      <c r="C436" s="3" t="s">
        <v>16</v>
      </c>
      <c r="D436" s="3" t="n">
        <v>94</v>
      </c>
    </row>
    <row r="437" customFormat="false" ht="15" hidden="false" customHeight="false" outlineLevel="0" collapsed="false">
      <c r="A437" s="2" t="n">
        <v>46226</v>
      </c>
      <c r="B437" s="3" t="s">
        <v>18</v>
      </c>
      <c r="C437" s="3" t="s">
        <v>11</v>
      </c>
      <c r="D437" s="3" t="n">
        <v>362</v>
      </c>
    </row>
    <row r="438" customFormat="false" ht="15" hidden="false" customHeight="false" outlineLevel="0" collapsed="false">
      <c r="A438" s="2" t="n">
        <v>46226</v>
      </c>
      <c r="B438" s="3" t="s">
        <v>19</v>
      </c>
      <c r="C438" s="3" t="s">
        <v>23</v>
      </c>
      <c r="D438" s="3" t="n">
        <v>136</v>
      </c>
    </row>
    <row r="439" customFormat="false" ht="15" hidden="false" customHeight="false" outlineLevel="0" collapsed="false">
      <c r="A439" s="2" t="n">
        <v>46226</v>
      </c>
      <c r="B439" s="3" t="s">
        <v>19</v>
      </c>
      <c r="C439" s="3" t="s">
        <v>24</v>
      </c>
      <c r="D439" s="3" t="n">
        <v>118</v>
      </c>
    </row>
    <row r="440" customFormat="false" ht="15" hidden="false" customHeight="false" outlineLevel="0" collapsed="false">
      <c r="A440" s="2" t="n">
        <v>46226</v>
      </c>
      <c r="B440" s="3" t="s">
        <v>19</v>
      </c>
      <c r="C440" s="3" t="s">
        <v>20</v>
      </c>
      <c r="D440" s="3" t="n">
        <v>51</v>
      </c>
    </row>
    <row r="441" customFormat="false" ht="15" hidden="false" customHeight="false" outlineLevel="0" collapsed="false">
      <c r="A441" s="2" t="n">
        <v>46226</v>
      </c>
      <c r="B441" s="3" t="s">
        <v>19</v>
      </c>
      <c r="C441" s="3" t="s">
        <v>21</v>
      </c>
      <c r="D441" s="3" t="n">
        <v>136</v>
      </c>
    </row>
    <row r="442" customFormat="false" ht="15" hidden="false" customHeight="false" outlineLevel="0" collapsed="false">
      <c r="A442" s="2" t="n">
        <v>46226</v>
      </c>
      <c r="B442" s="3" t="s">
        <v>19</v>
      </c>
      <c r="C442" s="3" t="s">
        <v>22</v>
      </c>
      <c r="D442" s="3" t="n">
        <v>2</v>
      </c>
    </row>
    <row r="443" customFormat="false" ht="15" hidden="false" customHeight="false" outlineLevel="0" collapsed="false">
      <c r="A443" s="2" t="n">
        <v>46226</v>
      </c>
      <c r="B443" s="3" t="s">
        <v>25</v>
      </c>
      <c r="C443" s="3" t="s">
        <v>11</v>
      </c>
      <c r="D443" s="3" t="n">
        <v>2177</v>
      </c>
    </row>
    <row r="444" customFormat="false" ht="15" hidden="false" customHeight="false" outlineLevel="0" collapsed="false">
      <c r="A444" s="2" t="n">
        <v>46226</v>
      </c>
      <c r="B444" s="3" t="s">
        <v>25</v>
      </c>
      <c r="C444" s="3" t="s">
        <v>14</v>
      </c>
      <c r="D444" s="3" t="n">
        <v>139</v>
      </c>
    </row>
    <row r="445" customFormat="false" ht="15" hidden="false" customHeight="false" outlineLevel="0" collapsed="false">
      <c r="A445" s="2" t="n">
        <v>46226</v>
      </c>
      <c r="B445" s="3" t="s">
        <v>25</v>
      </c>
      <c r="C445" s="3" t="s">
        <v>26</v>
      </c>
      <c r="D445" s="3" t="n">
        <v>73</v>
      </c>
    </row>
    <row r="446" customFormat="false" ht="15" hidden="false" customHeight="false" outlineLevel="0" collapsed="false">
      <c r="A446" s="2" t="n">
        <v>46226</v>
      </c>
      <c r="B446" s="3" t="s">
        <v>27</v>
      </c>
      <c r="C446" s="3" t="s">
        <v>28</v>
      </c>
      <c r="D446" s="3" t="n">
        <v>65</v>
      </c>
    </row>
    <row r="447" customFormat="false" ht="15" hidden="false" customHeight="false" outlineLevel="0" collapsed="false">
      <c r="A447" s="2" t="n">
        <v>46226</v>
      </c>
      <c r="B447" s="3" t="s">
        <v>27</v>
      </c>
      <c r="C447" s="3" t="s">
        <v>14</v>
      </c>
      <c r="D447" s="3" t="n">
        <v>59</v>
      </c>
    </row>
    <row r="448" customFormat="false" ht="15" hidden="false" customHeight="false" outlineLevel="0" collapsed="false">
      <c r="A448" s="2" t="n">
        <v>46226</v>
      </c>
      <c r="B448" s="3" t="s">
        <v>29</v>
      </c>
      <c r="C448" s="3" t="s">
        <v>16</v>
      </c>
      <c r="D448" s="3" t="n">
        <v>143</v>
      </c>
    </row>
    <row r="449" customFormat="false" ht="15" hidden="false" customHeight="false" outlineLevel="0" collapsed="false">
      <c r="A449" s="2" t="n">
        <v>46226</v>
      </c>
      <c r="B449" s="3" t="s">
        <v>30</v>
      </c>
      <c r="C449" s="3" t="s">
        <v>11</v>
      </c>
      <c r="D449" s="3" t="n">
        <v>11</v>
      </c>
    </row>
    <row r="450" customFormat="false" ht="15" hidden="false" customHeight="false" outlineLevel="0" collapsed="false">
      <c r="A450" s="2" t="n">
        <v>46226</v>
      </c>
      <c r="B450" s="3" t="s">
        <v>31</v>
      </c>
      <c r="C450" s="3" t="s">
        <v>32</v>
      </c>
      <c r="D450" s="3" t="n">
        <v>172</v>
      </c>
    </row>
    <row r="451" customFormat="false" ht="15" hidden="false" customHeight="false" outlineLevel="0" collapsed="false">
      <c r="A451" s="2" t="n">
        <v>46226</v>
      </c>
      <c r="B451" s="3" t="s">
        <v>31</v>
      </c>
      <c r="C451" s="3" t="s">
        <v>33</v>
      </c>
      <c r="D451" s="3" t="n">
        <v>2834</v>
      </c>
    </row>
    <row r="452" customFormat="false" ht="15" hidden="false" customHeight="false" outlineLevel="0" collapsed="false">
      <c r="A452" s="2" t="n">
        <v>46226</v>
      </c>
      <c r="B452" s="3" t="s">
        <v>31</v>
      </c>
      <c r="C452" s="3" t="s">
        <v>34</v>
      </c>
      <c r="D452" s="3" t="n">
        <v>2662</v>
      </c>
    </row>
    <row r="453" customFormat="false" ht="15" hidden="false" customHeight="false" outlineLevel="0" collapsed="false">
      <c r="A453" s="2" t="n">
        <v>46226</v>
      </c>
      <c r="B453" s="3" t="s">
        <v>31</v>
      </c>
      <c r="C453" s="3" t="s">
        <v>20</v>
      </c>
      <c r="D453" s="3" t="n">
        <v>369</v>
      </c>
    </row>
    <row r="454" customFormat="false" ht="15" hidden="false" customHeight="false" outlineLevel="0" collapsed="false">
      <c r="A454" s="2" t="n">
        <v>46226</v>
      </c>
      <c r="B454" s="3" t="s">
        <v>31</v>
      </c>
      <c r="C454" s="3" t="s">
        <v>22</v>
      </c>
      <c r="D454" s="3" t="n">
        <v>49</v>
      </c>
    </row>
    <row r="455" customFormat="false" ht="15" hidden="false" customHeight="false" outlineLevel="0" collapsed="false">
      <c r="A455" s="2" t="n">
        <v>46226</v>
      </c>
      <c r="B455" s="3" t="s">
        <v>31</v>
      </c>
      <c r="C455" s="3" t="s">
        <v>23</v>
      </c>
      <c r="D455" s="3" t="n">
        <v>230</v>
      </c>
    </row>
    <row r="456" customFormat="false" ht="15" hidden="false" customHeight="false" outlineLevel="0" collapsed="false">
      <c r="A456" s="2" t="n">
        <v>46226</v>
      </c>
      <c r="B456" s="3" t="s">
        <v>31</v>
      </c>
      <c r="C456" s="3" t="s">
        <v>35</v>
      </c>
      <c r="D456" s="3" t="n">
        <v>276</v>
      </c>
    </row>
    <row r="457" customFormat="false" ht="15" hidden="false" customHeight="false" outlineLevel="0" collapsed="false">
      <c r="A457" s="2" t="n">
        <v>46226</v>
      </c>
      <c r="B457" s="3" t="s">
        <v>31</v>
      </c>
      <c r="C457" s="3" t="s">
        <v>24</v>
      </c>
      <c r="D457" s="3" t="n">
        <v>8</v>
      </c>
    </row>
    <row r="458" customFormat="false" ht="15" hidden="false" customHeight="false" outlineLevel="0" collapsed="false">
      <c r="A458" s="2" t="n">
        <v>46226</v>
      </c>
      <c r="B458" s="3" t="s">
        <v>36</v>
      </c>
      <c r="C458" s="3" t="s">
        <v>14</v>
      </c>
      <c r="D458" s="3" t="n">
        <v>5</v>
      </c>
    </row>
    <row r="459" customFormat="false" ht="15" hidden="false" customHeight="false" outlineLevel="0" collapsed="false">
      <c r="A459" s="2" t="n">
        <v>46226</v>
      </c>
      <c r="B459" s="3" t="s">
        <v>36</v>
      </c>
      <c r="C459" s="3" t="s">
        <v>40</v>
      </c>
      <c r="D459" s="3" t="n">
        <v>4</v>
      </c>
    </row>
    <row r="460" customFormat="false" ht="15" hidden="false" customHeight="false" outlineLevel="0" collapsed="false">
      <c r="A460" s="2" t="n">
        <v>46226</v>
      </c>
      <c r="B460" s="3" t="s">
        <v>36</v>
      </c>
      <c r="C460" s="3" t="s">
        <v>11</v>
      </c>
      <c r="D460" s="3" t="n">
        <v>43136</v>
      </c>
    </row>
    <row r="461" customFormat="false" ht="15" hidden="false" customHeight="false" outlineLevel="0" collapsed="false">
      <c r="A461" s="2" t="n">
        <v>46226</v>
      </c>
      <c r="B461" s="3" t="s">
        <v>36</v>
      </c>
      <c r="C461" s="3" t="s">
        <v>37</v>
      </c>
      <c r="D461" s="3" t="n">
        <v>832</v>
      </c>
    </row>
    <row r="462" customFormat="false" ht="15" hidden="false" customHeight="false" outlineLevel="0" collapsed="false">
      <c r="A462" s="2" t="n">
        <v>46226</v>
      </c>
      <c r="B462" s="3" t="s">
        <v>36</v>
      </c>
      <c r="C462" s="3" t="s">
        <v>38</v>
      </c>
      <c r="D462" s="3" t="n">
        <v>832</v>
      </c>
    </row>
    <row r="463" customFormat="false" ht="15" hidden="false" customHeight="false" outlineLevel="0" collapsed="false">
      <c r="A463" s="2" t="n">
        <v>46226</v>
      </c>
      <c r="B463" s="3" t="s">
        <v>36</v>
      </c>
      <c r="C463" s="3" t="s">
        <v>39</v>
      </c>
      <c r="D463" s="3" t="n">
        <v>583</v>
      </c>
    </row>
    <row r="464" customFormat="false" ht="15" hidden="false" customHeight="false" outlineLevel="0" collapsed="false">
      <c r="A464" s="2" t="n">
        <v>46226</v>
      </c>
      <c r="B464" s="3" t="s">
        <v>41</v>
      </c>
      <c r="C464" s="3" t="s">
        <v>26</v>
      </c>
      <c r="D464" s="3" t="n">
        <v>127</v>
      </c>
    </row>
    <row r="465" customFormat="false" ht="15" hidden="false" customHeight="false" outlineLevel="0" collapsed="false">
      <c r="A465" s="2" t="n">
        <v>46226</v>
      </c>
      <c r="B465" s="3" t="s">
        <v>41</v>
      </c>
      <c r="C465" s="3" t="s">
        <v>38</v>
      </c>
      <c r="D465" s="3" t="n">
        <v>313</v>
      </c>
    </row>
    <row r="466" customFormat="false" ht="15" hidden="false" customHeight="false" outlineLevel="0" collapsed="false">
      <c r="A466" s="2" t="n">
        <v>46226</v>
      </c>
      <c r="B466" s="3" t="s">
        <v>41</v>
      </c>
      <c r="C466" s="3" t="s">
        <v>28</v>
      </c>
      <c r="D466" s="3" t="n">
        <v>102</v>
      </c>
    </row>
    <row r="467" customFormat="false" ht="15" hidden="false" customHeight="false" outlineLevel="0" collapsed="false">
      <c r="A467" s="2" t="n">
        <v>46226</v>
      </c>
      <c r="B467" s="3" t="s">
        <v>41</v>
      </c>
      <c r="C467" s="3" t="s">
        <v>39</v>
      </c>
      <c r="D467" s="3" t="n">
        <v>207</v>
      </c>
    </row>
    <row r="468" customFormat="false" ht="15" hidden="false" customHeight="false" outlineLevel="0" collapsed="false">
      <c r="A468" s="2" t="n">
        <v>46226</v>
      </c>
      <c r="B468" s="3" t="s">
        <v>41</v>
      </c>
      <c r="C468" s="3" t="s">
        <v>14</v>
      </c>
      <c r="D468" s="3" t="n">
        <v>10</v>
      </c>
    </row>
    <row r="469" customFormat="false" ht="15" hidden="false" customHeight="false" outlineLevel="0" collapsed="false">
      <c r="A469" s="2" t="n">
        <v>46226</v>
      </c>
      <c r="B469" s="3" t="s">
        <v>41</v>
      </c>
      <c r="C469" s="3" t="s">
        <v>42</v>
      </c>
      <c r="D469" s="3" t="n">
        <v>5</v>
      </c>
    </row>
    <row r="470" customFormat="false" ht="15" hidden="false" customHeight="false" outlineLevel="0" collapsed="false">
      <c r="A470" s="2" t="n">
        <v>46226</v>
      </c>
      <c r="B470" s="3" t="s">
        <v>41</v>
      </c>
      <c r="C470" s="3" t="s">
        <v>11</v>
      </c>
      <c r="D470" s="3" t="n">
        <v>1049</v>
      </c>
    </row>
    <row r="471" customFormat="false" ht="15" hidden="false" customHeight="false" outlineLevel="0" collapsed="false">
      <c r="A471" s="2" t="n">
        <v>46226</v>
      </c>
      <c r="B471" s="3" t="s">
        <v>43</v>
      </c>
      <c r="C471" s="3" t="s">
        <v>16</v>
      </c>
      <c r="D471" s="3" t="n">
        <v>213</v>
      </c>
    </row>
    <row r="472" customFormat="false" ht="15" hidden="false" customHeight="false" outlineLevel="0" collapsed="false">
      <c r="A472" s="2" t="n">
        <v>46226</v>
      </c>
      <c r="B472" s="3" t="s">
        <v>44</v>
      </c>
      <c r="C472" s="3" t="s">
        <v>16</v>
      </c>
      <c r="D472" s="3" t="n">
        <v>18</v>
      </c>
    </row>
    <row r="473" customFormat="false" ht="15" hidden="false" customHeight="false" outlineLevel="0" collapsed="false">
      <c r="A473" s="2" t="n">
        <v>46226</v>
      </c>
      <c r="B473" s="3" t="s">
        <v>46</v>
      </c>
      <c r="C473" s="3" t="s">
        <v>16</v>
      </c>
      <c r="D473" s="3" t="n">
        <v>6813</v>
      </c>
    </row>
    <row r="474" customFormat="false" ht="15" hidden="false" customHeight="false" outlineLevel="0" collapsed="false">
      <c r="A474" s="2" t="n">
        <v>46226</v>
      </c>
      <c r="B474" s="3" t="s">
        <v>47</v>
      </c>
      <c r="C474" s="3" t="s">
        <v>16</v>
      </c>
      <c r="D474" s="3" t="n">
        <v>82</v>
      </c>
    </row>
    <row r="475" customFormat="false" ht="15" hidden="false" customHeight="false" outlineLevel="0" collapsed="false">
      <c r="A475" s="2" t="n">
        <v>46226</v>
      </c>
      <c r="B475" s="3" t="s">
        <v>48</v>
      </c>
      <c r="C475" s="3" t="s">
        <v>38</v>
      </c>
      <c r="D475" s="3" t="n">
        <v>7</v>
      </c>
    </row>
    <row r="476" customFormat="false" ht="15" hidden="false" customHeight="false" outlineLevel="0" collapsed="false">
      <c r="A476" s="2" t="n">
        <v>46226</v>
      </c>
      <c r="B476" s="3" t="s">
        <v>48</v>
      </c>
      <c r="C476" s="3" t="s">
        <v>39</v>
      </c>
      <c r="D476" s="3" t="n">
        <v>8</v>
      </c>
    </row>
    <row r="477" customFormat="false" ht="15" hidden="false" customHeight="false" outlineLevel="0" collapsed="false">
      <c r="A477" s="2" t="n">
        <v>46226</v>
      </c>
      <c r="B477" s="3" t="s">
        <v>48</v>
      </c>
      <c r="C477" s="3" t="s">
        <v>14</v>
      </c>
      <c r="D477" s="3" t="n">
        <v>8</v>
      </c>
    </row>
    <row r="478" customFormat="false" ht="15" hidden="false" customHeight="false" outlineLevel="0" collapsed="false">
      <c r="A478" s="2" t="n">
        <v>46226</v>
      </c>
      <c r="B478" s="3" t="s">
        <v>49</v>
      </c>
      <c r="C478" s="3" t="s">
        <v>40</v>
      </c>
      <c r="D478" s="3" t="n">
        <v>11125</v>
      </c>
    </row>
    <row r="479" customFormat="false" ht="15" hidden="false" customHeight="false" outlineLevel="0" collapsed="false">
      <c r="A479" s="2" t="n">
        <v>46226</v>
      </c>
      <c r="B479" s="3" t="s">
        <v>50</v>
      </c>
      <c r="C479" s="3" t="s">
        <v>40</v>
      </c>
      <c r="D479" s="3" t="n">
        <v>10661</v>
      </c>
    </row>
    <row r="480" customFormat="false" ht="15" hidden="false" customHeight="false" outlineLevel="0" collapsed="false">
      <c r="A480" s="2" t="n">
        <v>46226</v>
      </c>
      <c r="B480" s="3" t="s">
        <v>51</v>
      </c>
      <c r="C480" s="3" t="s">
        <v>32</v>
      </c>
      <c r="D480" s="3" t="n">
        <v>1938</v>
      </c>
    </row>
    <row r="481" customFormat="false" ht="15" hidden="false" customHeight="false" outlineLevel="0" collapsed="false">
      <c r="A481" s="2" t="n">
        <v>46226</v>
      </c>
      <c r="B481" s="3" t="s">
        <v>51</v>
      </c>
      <c r="C481" s="3" t="s">
        <v>33</v>
      </c>
      <c r="D481" s="3" t="n">
        <v>7107</v>
      </c>
    </row>
    <row r="482" customFormat="false" ht="15" hidden="false" customHeight="false" outlineLevel="0" collapsed="false">
      <c r="A482" s="2" t="n">
        <v>46226</v>
      </c>
      <c r="B482" s="3" t="s">
        <v>51</v>
      </c>
      <c r="C482" s="3" t="s">
        <v>34</v>
      </c>
      <c r="D482" s="3" t="n">
        <v>5172</v>
      </c>
    </row>
    <row r="483" customFormat="false" ht="15" hidden="false" customHeight="false" outlineLevel="0" collapsed="false">
      <c r="A483" s="2" t="n">
        <v>46226</v>
      </c>
      <c r="B483" s="3" t="s">
        <v>51</v>
      </c>
      <c r="C483" s="3" t="s">
        <v>20</v>
      </c>
      <c r="D483" s="3" t="n">
        <v>6399</v>
      </c>
    </row>
    <row r="484" customFormat="false" ht="15" hidden="false" customHeight="false" outlineLevel="0" collapsed="false">
      <c r="A484" s="2" t="n">
        <v>46226</v>
      </c>
      <c r="B484" s="3" t="s">
        <v>51</v>
      </c>
      <c r="C484" s="3" t="s">
        <v>22</v>
      </c>
      <c r="D484" s="3" t="n">
        <v>3410</v>
      </c>
    </row>
    <row r="485" customFormat="false" ht="15" hidden="false" customHeight="false" outlineLevel="0" collapsed="false">
      <c r="A485" s="2" t="n">
        <v>46226</v>
      </c>
      <c r="B485" s="3" t="s">
        <v>52</v>
      </c>
      <c r="C485" s="3" t="s">
        <v>11</v>
      </c>
      <c r="D485" s="3" t="n">
        <v>12869</v>
      </c>
    </row>
    <row r="486" customFormat="false" ht="15" hidden="false" customHeight="false" outlineLevel="0" collapsed="false">
      <c r="A486" s="2" t="n">
        <v>46226</v>
      </c>
      <c r="B486" s="3" t="s">
        <v>53</v>
      </c>
      <c r="C486" s="3" t="s">
        <v>14</v>
      </c>
      <c r="D486" s="3" t="n">
        <v>2</v>
      </c>
    </row>
    <row r="487" customFormat="false" ht="15" hidden="false" customHeight="false" outlineLevel="0" collapsed="false">
      <c r="A487" s="2" t="n">
        <v>46226</v>
      </c>
      <c r="B487" s="3" t="s">
        <v>53</v>
      </c>
      <c r="C487" s="3" t="s">
        <v>39</v>
      </c>
      <c r="D487" s="3" t="n">
        <v>690</v>
      </c>
    </row>
    <row r="488" customFormat="false" ht="15" hidden="false" customHeight="false" outlineLevel="0" collapsed="false">
      <c r="A488" s="2" t="n">
        <v>46226</v>
      </c>
      <c r="B488" s="3" t="s">
        <v>54</v>
      </c>
      <c r="C488" s="3" t="s">
        <v>38</v>
      </c>
      <c r="D488" s="3" t="n">
        <v>5229</v>
      </c>
    </row>
    <row r="489" customFormat="false" ht="15" hidden="false" customHeight="false" outlineLevel="0" collapsed="false">
      <c r="A489" s="2" t="n">
        <v>46226</v>
      </c>
      <c r="B489" s="3" t="s">
        <v>54</v>
      </c>
      <c r="C489" s="3" t="s">
        <v>39</v>
      </c>
      <c r="D489" s="3" t="n">
        <v>6192</v>
      </c>
    </row>
    <row r="490" customFormat="false" ht="15" hidden="false" customHeight="false" outlineLevel="0" collapsed="false">
      <c r="A490" s="2" t="n">
        <v>46226</v>
      </c>
      <c r="B490" s="3" t="s">
        <v>54</v>
      </c>
      <c r="C490" s="3" t="s">
        <v>14</v>
      </c>
      <c r="D490" s="3" t="n">
        <v>3</v>
      </c>
    </row>
    <row r="491" customFormat="false" ht="15" hidden="false" customHeight="false" outlineLevel="0" collapsed="false">
      <c r="A491" s="2" t="n">
        <v>46226</v>
      </c>
      <c r="B491" s="3" t="s">
        <v>55</v>
      </c>
      <c r="C491" s="3" t="s">
        <v>40</v>
      </c>
      <c r="D491" s="3" t="n">
        <v>1114</v>
      </c>
    </row>
    <row r="492" customFormat="false" ht="15" hidden="false" customHeight="false" outlineLevel="0" collapsed="false">
      <c r="A492" s="2" t="n">
        <v>46226</v>
      </c>
      <c r="B492" s="3" t="s">
        <v>56</v>
      </c>
      <c r="C492" s="3" t="s">
        <v>14</v>
      </c>
      <c r="D492" s="3" t="n">
        <v>2</v>
      </c>
    </row>
    <row r="493" customFormat="false" ht="15" hidden="false" customHeight="false" outlineLevel="0" collapsed="false">
      <c r="A493" s="2" t="n">
        <v>46226</v>
      </c>
      <c r="B493" s="3" t="s">
        <v>56</v>
      </c>
      <c r="C493" s="3" t="s">
        <v>39</v>
      </c>
      <c r="D493" s="3" t="n">
        <v>1233</v>
      </c>
    </row>
    <row r="494" customFormat="false" ht="15" hidden="false" customHeight="false" outlineLevel="0" collapsed="false">
      <c r="A494" s="2" t="n">
        <v>46226</v>
      </c>
      <c r="B494" s="3" t="s">
        <v>57</v>
      </c>
      <c r="C494" s="3" t="s">
        <v>38</v>
      </c>
      <c r="D494" s="3" t="n">
        <v>117</v>
      </c>
    </row>
    <row r="495" customFormat="false" ht="15" hidden="false" customHeight="false" outlineLevel="0" collapsed="false">
      <c r="A495" s="2" t="n">
        <v>46226</v>
      </c>
      <c r="B495" s="3" t="s">
        <v>57</v>
      </c>
      <c r="C495" s="3" t="s">
        <v>39</v>
      </c>
      <c r="D495" s="3" t="n">
        <v>3</v>
      </c>
    </row>
    <row r="496" customFormat="false" ht="15" hidden="false" customHeight="false" outlineLevel="0" collapsed="false">
      <c r="A496" s="2" t="n">
        <v>46226</v>
      </c>
      <c r="B496" s="3" t="s">
        <v>57</v>
      </c>
      <c r="C496" s="3" t="s">
        <v>14</v>
      </c>
      <c r="D496" s="3" t="n">
        <v>2</v>
      </c>
    </row>
    <row r="497" customFormat="false" ht="15" hidden="false" customHeight="false" outlineLevel="0" collapsed="false">
      <c r="A497" s="2" t="n">
        <v>46226</v>
      </c>
      <c r="B497" s="3" t="s">
        <v>58</v>
      </c>
      <c r="C497" s="3" t="s">
        <v>14</v>
      </c>
      <c r="D497" s="3" t="n">
        <v>2</v>
      </c>
    </row>
    <row r="498" customFormat="false" ht="15" hidden="false" customHeight="false" outlineLevel="0" collapsed="false">
      <c r="A498" s="2" t="n">
        <v>46226</v>
      </c>
      <c r="B498" s="3" t="s">
        <v>58</v>
      </c>
      <c r="C498" s="3" t="s">
        <v>39</v>
      </c>
      <c r="D498" s="3" t="n">
        <v>85</v>
      </c>
    </row>
    <row r="499" customFormat="false" ht="15" hidden="false" customHeight="false" outlineLevel="0" collapsed="false">
      <c r="A499" s="2" t="n">
        <v>46226</v>
      </c>
      <c r="B499" s="3" t="s">
        <v>59</v>
      </c>
      <c r="C499" s="3" t="s">
        <v>39</v>
      </c>
      <c r="D499" s="3" t="n">
        <v>4</v>
      </c>
    </row>
    <row r="500" customFormat="false" ht="15" hidden="false" customHeight="false" outlineLevel="0" collapsed="false">
      <c r="A500" s="2" t="n">
        <v>46226</v>
      </c>
      <c r="B500" s="3" t="s">
        <v>59</v>
      </c>
      <c r="C500" s="3" t="s">
        <v>14</v>
      </c>
      <c r="D500" s="3" t="n">
        <v>3</v>
      </c>
    </row>
    <row r="501" customFormat="false" ht="15" hidden="false" customHeight="false" outlineLevel="0" collapsed="false">
      <c r="A501" s="2" t="n">
        <v>46226</v>
      </c>
      <c r="B501" s="3" t="s">
        <v>60</v>
      </c>
      <c r="C501" s="3" t="s">
        <v>14</v>
      </c>
      <c r="D501" s="3" t="n">
        <v>3</v>
      </c>
    </row>
    <row r="502" customFormat="false" ht="15" hidden="false" customHeight="false" outlineLevel="0" collapsed="false">
      <c r="A502" s="2" t="n">
        <v>46226</v>
      </c>
      <c r="B502" s="3" t="s">
        <v>60</v>
      </c>
      <c r="C502" s="3" t="s">
        <v>38</v>
      </c>
      <c r="D502" s="3" t="n">
        <v>665</v>
      </c>
    </row>
    <row r="503" customFormat="false" ht="15" hidden="false" customHeight="false" outlineLevel="0" collapsed="false">
      <c r="A503" s="2" t="n">
        <v>46226</v>
      </c>
      <c r="B503" s="3" t="s">
        <v>60</v>
      </c>
      <c r="C503" s="3" t="s">
        <v>39</v>
      </c>
      <c r="D503" s="3" t="n">
        <v>1300</v>
      </c>
    </row>
    <row r="504" customFormat="false" ht="15" hidden="false" customHeight="false" outlineLevel="0" collapsed="false">
      <c r="A504" s="2" t="n">
        <v>46226</v>
      </c>
      <c r="B504" s="3" t="s">
        <v>61</v>
      </c>
      <c r="C504" s="3" t="s">
        <v>38</v>
      </c>
      <c r="D504" s="3" t="n">
        <v>37</v>
      </c>
    </row>
    <row r="505" customFormat="false" ht="15" hidden="false" customHeight="false" outlineLevel="0" collapsed="false">
      <c r="A505" s="2" t="n">
        <v>46226</v>
      </c>
      <c r="B505" s="3" t="s">
        <v>61</v>
      </c>
      <c r="C505" s="3" t="s">
        <v>39</v>
      </c>
      <c r="D505" s="3" t="n">
        <v>97</v>
      </c>
    </row>
    <row r="506" customFormat="false" ht="15" hidden="false" customHeight="false" outlineLevel="0" collapsed="false">
      <c r="A506" s="2" t="n">
        <v>46226</v>
      </c>
      <c r="B506" s="3" t="s">
        <v>61</v>
      </c>
      <c r="C506" s="3" t="s">
        <v>14</v>
      </c>
      <c r="D506" s="3" t="n">
        <v>3</v>
      </c>
    </row>
    <row r="507" customFormat="false" ht="15" hidden="false" customHeight="false" outlineLevel="0" collapsed="false">
      <c r="A507" s="2" t="n">
        <v>46226</v>
      </c>
      <c r="B507" s="3" t="s">
        <v>62</v>
      </c>
      <c r="C507" s="3" t="s">
        <v>14</v>
      </c>
      <c r="D507" s="3" t="n">
        <v>1</v>
      </c>
    </row>
    <row r="508" customFormat="false" ht="15" hidden="false" customHeight="false" outlineLevel="0" collapsed="false">
      <c r="A508" s="2" t="n">
        <v>46226</v>
      </c>
      <c r="B508" s="3" t="s">
        <v>62</v>
      </c>
      <c r="C508" s="3" t="s">
        <v>38</v>
      </c>
      <c r="D508" s="3" t="n">
        <v>3602</v>
      </c>
    </row>
    <row r="509" customFormat="false" ht="15" hidden="false" customHeight="false" outlineLevel="0" collapsed="false">
      <c r="A509" s="2" t="n">
        <v>46226</v>
      </c>
      <c r="B509" s="3" t="s">
        <v>62</v>
      </c>
      <c r="C509" s="3" t="s">
        <v>39</v>
      </c>
      <c r="D509" s="3" t="n">
        <v>322</v>
      </c>
    </row>
    <row r="510" customFormat="false" ht="15" hidden="false" customHeight="false" outlineLevel="0" collapsed="false">
      <c r="A510" s="2" t="n">
        <v>46226</v>
      </c>
      <c r="B510" s="3" t="s">
        <v>63</v>
      </c>
      <c r="C510" s="3" t="s">
        <v>40</v>
      </c>
      <c r="D510" s="3" t="n">
        <v>4564</v>
      </c>
    </row>
    <row r="511" customFormat="false" ht="15" hidden="false" customHeight="false" outlineLevel="0" collapsed="false">
      <c r="A511" s="2" t="n">
        <v>46226</v>
      </c>
      <c r="B511" s="3" t="s">
        <v>64</v>
      </c>
      <c r="C511" s="3" t="s">
        <v>40</v>
      </c>
      <c r="D511" s="3" t="n">
        <v>17</v>
      </c>
    </row>
    <row r="512" customFormat="false" ht="15" hidden="false" customHeight="false" outlineLevel="0" collapsed="false">
      <c r="A512" s="2" t="n">
        <v>46226</v>
      </c>
      <c r="B512" s="3" t="s">
        <v>65</v>
      </c>
      <c r="C512" s="3" t="s">
        <v>40</v>
      </c>
      <c r="D512" s="3" t="n">
        <v>32</v>
      </c>
    </row>
    <row r="513" customFormat="false" ht="15" hidden="false" customHeight="false" outlineLevel="0" collapsed="false">
      <c r="A513" s="2" t="n">
        <v>46226</v>
      </c>
      <c r="B513" s="3" t="s">
        <v>66</v>
      </c>
      <c r="C513" s="3" t="s">
        <v>40</v>
      </c>
      <c r="D513" s="3" t="n">
        <v>6</v>
      </c>
    </row>
    <row r="514" customFormat="false" ht="15" hidden="false" customHeight="false" outlineLevel="0" collapsed="false">
      <c r="A514" s="2" t="n">
        <v>46226</v>
      </c>
      <c r="B514" s="3" t="s">
        <v>67</v>
      </c>
      <c r="C514" s="3" t="s">
        <v>20</v>
      </c>
      <c r="D514" s="3" t="n">
        <v>3716</v>
      </c>
    </row>
    <row r="515" customFormat="false" ht="15" hidden="false" customHeight="false" outlineLevel="0" collapsed="false">
      <c r="A515" s="2" t="n">
        <v>46226</v>
      </c>
      <c r="B515" s="3" t="s">
        <v>67</v>
      </c>
      <c r="C515" s="3" t="s">
        <v>22</v>
      </c>
      <c r="D515" s="3" t="n">
        <v>5</v>
      </c>
    </row>
    <row r="516" customFormat="false" ht="15" hidden="false" customHeight="false" outlineLevel="0" collapsed="false">
      <c r="A516" s="2" t="n">
        <v>46226</v>
      </c>
      <c r="B516" s="3" t="s">
        <v>67</v>
      </c>
      <c r="C516" s="3" t="s">
        <v>32</v>
      </c>
      <c r="D516" s="3" t="n">
        <v>1568</v>
      </c>
    </row>
    <row r="517" customFormat="false" ht="15" hidden="false" customHeight="false" outlineLevel="0" collapsed="false">
      <c r="A517" s="2" t="n">
        <v>46226</v>
      </c>
      <c r="B517" s="3" t="s">
        <v>67</v>
      </c>
      <c r="C517" s="3" t="s">
        <v>33</v>
      </c>
      <c r="D517" s="3" t="n">
        <v>20989</v>
      </c>
    </row>
    <row r="518" customFormat="false" ht="15" hidden="false" customHeight="false" outlineLevel="0" collapsed="false">
      <c r="A518" s="2" t="n">
        <v>46226</v>
      </c>
      <c r="B518" s="3" t="s">
        <v>67</v>
      </c>
      <c r="C518" s="3" t="s">
        <v>34</v>
      </c>
      <c r="D518" s="3" t="n">
        <v>19421</v>
      </c>
    </row>
    <row r="519" customFormat="false" ht="15" hidden="false" customHeight="false" outlineLevel="0" collapsed="false">
      <c r="A519" s="2" t="n">
        <v>46226</v>
      </c>
      <c r="B519" s="3" t="s">
        <v>68</v>
      </c>
      <c r="C519" s="3" t="s">
        <v>11</v>
      </c>
      <c r="D519" s="3" t="n">
        <v>466</v>
      </c>
    </row>
    <row r="520" customFormat="false" ht="15" hidden="false" customHeight="false" outlineLevel="0" collapsed="false">
      <c r="A520" s="2" t="n">
        <v>46226</v>
      </c>
      <c r="B520" s="3" t="s">
        <v>69</v>
      </c>
      <c r="C520" s="3" t="s">
        <v>11</v>
      </c>
      <c r="D520" s="3" t="n">
        <v>54935</v>
      </c>
    </row>
    <row r="521" customFormat="false" ht="15" hidden="false" customHeight="false" outlineLevel="0" collapsed="false">
      <c r="A521" s="2" t="n">
        <v>46226</v>
      </c>
      <c r="B521" s="3" t="s">
        <v>71</v>
      </c>
      <c r="C521" s="3" t="s">
        <v>42</v>
      </c>
      <c r="D521" s="3" t="n">
        <v>7</v>
      </c>
    </row>
    <row r="522" customFormat="false" ht="15" hidden="false" customHeight="false" outlineLevel="0" collapsed="false">
      <c r="A522" s="2" t="n">
        <v>46226</v>
      </c>
      <c r="B522" s="3" t="s">
        <v>71</v>
      </c>
      <c r="C522" s="3" t="s">
        <v>37</v>
      </c>
      <c r="D522" s="3" t="n">
        <v>1</v>
      </c>
    </row>
    <row r="523" customFormat="false" ht="15" hidden="false" customHeight="false" outlineLevel="0" collapsed="false">
      <c r="A523" s="2" t="n">
        <v>46226</v>
      </c>
      <c r="B523" s="3" t="s">
        <v>71</v>
      </c>
      <c r="C523" s="3" t="s">
        <v>38</v>
      </c>
      <c r="D523" s="3" t="n">
        <v>22796</v>
      </c>
    </row>
    <row r="524" customFormat="false" ht="15" hidden="false" customHeight="false" outlineLevel="0" collapsed="false">
      <c r="A524" s="2" t="n">
        <v>46226</v>
      </c>
      <c r="B524" s="3" t="s">
        <v>71</v>
      </c>
      <c r="C524" s="3" t="s">
        <v>39</v>
      </c>
      <c r="D524" s="3" t="n">
        <v>4918</v>
      </c>
    </row>
    <row r="525" customFormat="false" ht="15" hidden="false" customHeight="false" outlineLevel="0" collapsed="false">
      <c r="A525" s="2" t="n">
        <v>46226</v>
      </c>
      <c r="B525" s="3" t="s">
        <v>71</v>
      </c>
      <c r="C525" s="3" t="s">
        <v>14</v>
      </c>
      <c r="D525" s="3" t="n">
        <v>22884</v>
      </c>
    </row>
    <row r="526" customFormat="false" ht="15" hidden="false" customHeight="false" outlineLevel="0" collapsed="false">
      <c r="A526" s="2" t="n">
        <v>46226</v>
      </c>
      <c r="B526" s="3" t="s">
        <v>72</v>
      </c>
      <c r="C526" s="3" t="s">
        <v>40</v>
      </c>
      <c r="D526" s="3" t="n">
        <v>800</v>
      </c>
    </row>
    <row r="527" customFormat="false" ht="15" hidden="false" customHeight="false" outlineLevel="0" collapsed="false">
      <c r="A527" s="2" t="n">
        <v>46226</v>
      </c>
      <c r="B527" s="3" t="s">
        <v>73</v>
      </c>
      <c r="C527" s="3" t="s">
        <v>40</v>
      </c>
      <c r="D527" s="3" t="n">
        <v>65</v>
      </c>
    </row>
    <row r="528" customFormat="false" ht="15" hidden="false" customHeight="false" outlineLevel="0" collapsed="false">
      <c r="A528" s="2" t="n">
        <v>46226</v>
      </c>
      <c r="B528" s="3" t="s">
        <v>74</v>
      </c>
      <c r="C528" s="3" t="s">
        <v>16</v>
      </c>
      <c r="D528" s="3" t="n">
        <v>21</v>
      </c>
    </row>
    <row r="529" customFormat="false" ht="15" hidden="false" customHeight="false" outlineLevel="0" collapsed="false">
      <c r="A529" s="2" t="n">
        <v>46226</v>
      </c>
      <c r="B529" s="3" t="s">
        <v>75</v>
      </c>
      <c r="C529" s="3" t="s">
        <v>11</v>
      </c>
      <c r="D529" s="3" t="n">
        <v>3586</v>
      </c>
    </row>
    <row r="530" customFormat="false" ht="15" hidden="false" customHeight="false" outlineLevel="0" collapsed="false">
      <c r="A530" s="2" t="n">
        <v>46226</v>
      </c>
      <c r="B530" s="3" t="s">
        <v>76</v>
      </c>
      <c r="C530" s="3" t="s">
        <v>11</v>
      </c>
      <c r="D530" s="3" t="n">
        <v>1173</v>
      </c>
    </row>
    <row r="531" customFormat="false" ht="15" hidden="false" customHeight="false" outlineLevel="0" collapsed="false">
      <c r="A531" s="2" t="n">
        <v>46226</v>
      </c>
      <c r="B531" s="3" t="s">
        <v>77</v>
      </c>
      <c r="C531" s="3" t="s">
        <v>23</v>
      </c>
      <c r="D531" s="3" t="n">
        <v>76</v>
      </c>
    </row>
    <row r="532" customFormat="false" ht="15" hidden="false" customHeight="false" outlineLevel="0" collapsed="false">
      <c r="A532" s="2" t="n">
        <v>46226</v>
      </c>
      <c r="B532" s="3" t="s">
        <v>77</v>
      </c>
      <c r="C532" s="3" t="s">
        <v>35</v>
      </c>
      <c r="D532" s="3" t="n">
        <v>1758</v>
      </c>
    </row>
    <row r="533" customFormat="false" ht="15" hidden="false" customHeight="false" outlineLevel="0" collapsed="false">
      <c r="A533" s="2" t="n">
        <v>46226</v>
      </c>
      <c r="B533" s="3" t="s">
        <v>77</v>
      </c>
      <c r="C533" s="3" t="s">
        <v>78</v>
      </c>
      <c r="D533" s="3" t="n">
        <v>406</v>
      </c>
    </row>
    <row r="534" customFormat="false" ht="15" hidden="false" customHeight="false" outlineLevel="0" collapsed="false">
      <c r="A534" s="2" t="n">
        <v>46226</v>
      </c>
      <c r="B534" s="3" t="s">
        <v>77</v>
      </c>
      <c r="C534" s="3" t="s">
        <v>20</v>
      </c>
      <c r="D534" s="3" t="n">
        <v>2</v>
      </c>
    </row>
    <row r="535" customFormat="false" ht="15" hidden="false" customHeight="false" outlineLevel="0" collapsed="false">
      <c r="A535" s="2" t="n">
        <v>46226</v>
      </c>
      <c r="B535" s="3" t="s">
        <v>77</v>
      </c>
      <c r="C535" s="3" t="s">
        <v>21</v>
      </c>
      <c r="D535" s="3" t="n">
        <v>4</v>
      </c>
    </row>
    <row r="536" customFormat="false" ht="15" hidden="false" customHeight="false" outlineLevel="0" collapsed="false">
      <c r="A536" s="2" t="n">
        <v>46226</v>
      </c>
      <c r="B536" s="3" t="s">
        <v>77</v>
      </c>
      <c r="C536" s="3" t="s">
        <v>22</v>
      </c>
      <c r="D536" s="3" t="n">
        <v>2</v>
      </c>
    </row>
    <row r="537" customFormat="false" ht="15" hidden="false" customHeight="false" outlineLevel="0" collapsed="false">
      <c r="A537" s="2" t="n">
        <v>46226</v>
      </c>
      <c r="B537" s="3" t="s">
        <v>79</v>
      </c>
      <c r="C537" s="3" t="s">
        <v>14</v>
      </c>
      <c r="D537" s="3" t="n">
        <v>1</v>
      </c>
    </row>
    <row r="538" customFormat="false" ht="15" hidden="false" customHeight="false" outlineLevel="0" collapsed="false">
      <c r="A538" s="2" t="n">
        <v>46226</v>
      </c>
      <c r="B538" s="3" t="s">
        <v>80</v>
      </c>
      <c r="C538" s="3" t="s">
        <v>14</v>
      </c>
      <c r="D538" s="3" t="n">
        <v>35</v>
      </c>
    </row>
    <row r="539" customFormat="false" ht="15" hidden="false" customHeight="false" outlineLevel="0" collapsed="false">
      <c r="A539" s="2" t="n">
        <v>46226</v>
      </c>
      <c r="B539" s="3" t="s">
        <v>80</v>
      </c>
      <c r="C539" s="3" t="s">
        <v>40</v>
      </c>
      <c r="D539" s="3" t="n">
        <v>70</v>
      </c>
    </row>
    <row r="540" customFormat="false" ht="15" hidden="false" customHeight="false" outlineLevel="0" collapsed="false">
      <c r="A540" s="2" t="n">
        <v>46226</v>
      </c>
      <c r="B540" s="3" t="s">
        <v>81</v>
      </c>
      <c r="C540" s="3" t="s">
        <v>40</v>
      </c>
      <c r="D540" s="3" t="n">
        <v>3890</v>
      </c>
    </row>
    <row r="541" customFormat="false" ht="15" hidden="false" customHeight="false" outlineLevel="0" collapsed="false">
      <c r="A541" s="2" t="n">
        <v>46226</v>
      </c>
      <c r="B541" s="3" t="s">
        <v>82</v>
      </c>
      <c r="C541" s="3" t="s">
        <v>16</v>
      </c>
      <c r="D541" s="3" t="n">
        <v>17</v>
      </c>
    </row>
    <row r="542" customFormat="false" ht="15" hidden="false" customHeight="false" outlineLevel="0" collapsed="false">
      <c r="A542" s="2" t="n">
        <v>46226</v>
      </c>
      <c r="B542" s="3" t="s">
        <v>83</v>
      </c>
      <c r="C542" s="3" t="s">
        <v>16</v>
      </c>
      <c r="D542" s="3" t="n">
        <v>32</v>
      </c>
    </row>
    <row r="543" customFormat="false" ht="15" hidden="false" customHeight="false" outlineLevel="0" collapsed="false">
      <c r="A543" s="2" t="n">
        <v>46226</v>
      </c>
      <c r="B543" s="3" t="s">
        <v>84</v>
      </c>
      <c r="C543" s="3" t="s">
        <v>11</v>
      </c>
      <c r="D543" s="3" t="n">
        <v>12619</v>
      </c>
    </row>
    <row r="544" customFormat="false" ht="15" hidden="false" customHeight="false" outlineLevel="0" collapsed="false">
      <c r="A544" s="2" t="n">
        <v>46226</v>
      </c>
      <c r="B544" s="3" t="s">
        <v>92</v>
      </c>
      <c r="C544" s="3" t="s">
        <v>40</v>
      </c>
      <c r="D544" s="3" t="n">
        <v>4</v>
      </c>
    </row>
    <row r="545" customFormat="false" ht="15" hidden="false" customHeight="false" outlineLevel="0" collapsed="false">
      <c r="A545" s="2" t="n">
        <v>46226</v>
      </c>
      <c r="B545" s="3" t="s">
        <v>92</v>
      </c>
      <c r="C545" s="3" t="s">
        <v>11</v>
      </c>
      <c r="D545" s="3" t="n">
        <v>1</v>
      </c>
    </row>
    <row r="546" customFormat="false" ht="15" hidden="false" customHeight="false" outlineLevel="0" collapsed="false">
      <c r="A546" s="2" t="n">
        <v>46226</v>
      </c>
      <c r="B546" s="3" t="s">
        <v>93</v>
      </c>
      <c r="C546" s="3" t="s">
        <v>9</v>
      </c>
      <c r="D546" s="3" t="n">
        <v>7</v>
      </c>
    </row>
    <row r="547" customFormat="false" ht="15" hidden="false" customHeight="false" outlineLevel="0" collapsed="false">
      <c r="A547" s="2" t="n">
        <v>46226</v>
      </c>
      <c r="B547" s="3" t="s">
        <v>94</v>
      </c>
      <c r="C547" s="3" t="s">
        <v>11</v>
      </c>
      <c r="D547" s="3" t="n">
        <v>89</v>
      </c>
    </row>
    <row r="548" customFormat="false" ht="15" hidden="false" customHeight="false" outlineLevel="0" collapsed="false">
      <c r="A548" s="2" t="n">
        <v>46226</v>
      </c>
      <c r="B548" s="3" t="s">
        <v>114</v>
      </c>
      <c r="C548" s="3" t="s">
        <v>14</v>
      </c>
      <c r="D548" s="3" t="n">
        <v>1</v>
      </c>
    </row>
    <row r="549" customFormat="false" ht="15" hidden="false" customHeight="false" outlineLevel="0" collapsed="false">
      <c r="A549" s="2" t="n">
        <v>46226</v>
      </c>
      <c r="B549" s="3" t="s">
        <v>114</v>
      </c>
      <c r="C549" s="3" t="s">
        <v>38</v>
      </c>
      <c r="D549" s="3" t="n">
        <v>1</v>
      </c>
    </row>
    <row r="550" customFormat="false" ht="15" hidden="false" customHeight="false" outlineLevel="0" collapsed="false">
      <c r="A550" s="2" t="n">
        <v>46226</v>
      </c>
      <c r="B550" s="3" t="s">
        <v>114</v>
      </c>
      <c r="C550" s="3" t="s">
        <v>39</v>
      </c>
      <c r="D550" s="3" t="n">
        <v>1</v>
      </c>
    </row>
    <row r="551" customFormat="false" ht="15" hidden="false" customHeight="false" outlineLevel="0" collapsed="false">
      <c r="A551" s="2" t="n">
        <v>46226</v>
      </c>
      <c r="B551" s="3" t="s">
        <v>95</v>
      </c>
      <c r="C551" s="3" t="s">
        <v>11</v>
      </c>
      <c r="D551" s="3" t="n">
        <v>133</v>
      </c>
    </row>
    <row r="552" customFormat="false" ht="15" hidden="false" customHeight="false" outlineLevel="0" collapsed="false">
      <c r="A552" s="2" t="n">
        <v>46226</v>
      </c>
      <c r="B552" s="3" t="s">
        <v>96</v>
      </c>
      <c r="C552" s="3" t="s">
        <v>40</v>
      </c>
      <c r="D552" s="3" t="n">
        <v>83</v>
      </c>
    </row>
    <row r="553" customFormat="false" ht="15" hidden="false" customHeight="false" outlineLevel="0" collapsed="false">
      <c r="A553" s="2" t="n">
        <v>46226</v>
      </c>
      <c r="B553" s="3" t="s">
        <v>97</v>
      </c>
      <c r="C553" s="3" t="s">
        <v>99</v>
      </c>
      <c r="D553" s="3" t="n">
        <v>11</v>
      </c>
    </row>
    <row r="554" customFormat="false" ht="15" hidden="false" customHeight="false" outlineLevel="0" collapsed="false">
      <c r="A554" s="2" t="n">
        <v>46226</v>
      </c>
      <c r="B554" s="3" t="s">
        <v>97</v>
      </c>
      <c r="C554" s="3" t="s">
        <v>100</v>
      </c>
      <c r="D554" s="3" t="n">
        <v>22</v>
      </c>
    </row>
    <row r="555" customFormat="false" ht="15" hidden="false" customHeight="false" outlineLevel="0" collapsed="false">
      <c r="A555" s="2" t="n">
        <v>46226</v>
      </c>
      <c r="B555" s="3" t="s">
        <v>97</v>
      </c>
      <c r="C555" s="3" t="s">
        <v>110</v>
      </c>
      <c r="D555" s="3" t="n">
        <v>1</v>
      </c>
    </row>
    <row r="556" customFormat="false" ht="15" hidden="false" customHeight="false" outlineLevel="0" collapsed="false">
      <c r="A556" s="2" t="n">
        <v>46226</v>
      </c>
      <c r="B556" s="3" t="s">
        <v>97</v>
      </c>
      <c r="C556" s="3" t="s">
        <v>111</v>
      </c>
      <c r="D556" s="3" t="n">
        <v>1</v>
      </c>
    </row>
    <row r="557" customFormat="false" ht="15" hidden="false" customHeight="false" outlineLevel="0" collapsed="false">
      <c r="A557" s="2" t="n">
        <v>46226</v>
      </c>
      <c r="B557" s="3" t="s">
        <v>97</v>
      </c>
      <c r="C557" s="3" t="s">
        <v>101</v>
      </c>
      <c r="D557" s="3" t="n">
        <v>18</v>
      </c>
    </row>
    <row r="558" customFormat="false" ht="15" hidden="false" customHeight="false" outlineLevel="0" collapsed="false">
      <c r="A558" s="2" t="n">
        <v>46226</v>
      </c>
      <c r="B558" s="3" t="s">
        <v>103</v>
      </c>
      <c r="C558" s="3" t="s">
        <v>16</v>
      </c>
      <c r="D558" s="3" t="n">
        <v>28</v>
      </c>
    </row>
    <row r="559" customFormat="false" ht="15" hidden="false" customHeight="false" outlineLevel="0" collapsed="false">
      <c r="A559" s="2" t="n">
        <v>46226</v>
      </c>
      <c r="B559" s="3" t="s">
        <v>104</v>
      </c>
      <c r="C559" s="3" t="s">
        <v>16</v>
      </c>
      <c r="D559" s="3" t="n">
        <v>84</v>
      </c>
    </row>
    <row r="560" customFormat="false" ht="15" hidden="false" customHeight="false" outlineLevel="0" collapsed="false">
      <c r="A560" s="2" t="n">
        <v>46226</v>
      </c>
      <c r="B560" s="3" t="s">
        <v>105</v>
      </c>
      <c r="C560" s="3" t="s">
        <v>11</v>
      </c>
      <c r="D560" s="3" t="n">
        <v>1590</v>
      </c>
    </row>
    <row r="561" customFormat="false" ht="15" hidden="false" customHeight="false" outlineLevel="0" collapsed="false">
      <c r="A561" s="2" t="n">
        <v>46226</v>
      </c>
      <c r="B561" s="3" t="s">
        <v>106</v>
      </c>
      <c r="C561" s="3" t="s">
        <v>16</v>
      </c>
      <c r="D561" s="3" t="n">
        <v>373</v>
      </c>
    </row>
    <row r="562" customFormat="false" ht="15" hidden="false" customHeight="false" outlineLevel="0" collapsed="false">
      <c r="A562" s="2" t="n">
        <v>46226</v>
      </c>
      <c r="B562" s="3" t="s">
        <v>107</v>
      </c>
      <c r="C562" s="3" t="s">
        <v>11</v>
      </c>
      <c r="D562" s="3" t="n">
        <v>1</v>
      </c>
    </row>
    <row r="563" customFormat="false" ht="15" hidden="false" customHeight="false" outlineLevel="0" collapsed="false">
      <c r="A563" s="2" t="n">
        <v>46227</v>
      </c>
      <c r="B563" s="3"/>
      <c r="C563" s="3"/>
      <c r="D563" s="3" t="n">
        <v>1</v>
      </c>
    </row>
    <row r="564" customFormat="false" ht="15" hidden="false" customHeight="false" outlineLevel="0" collapsed="false">
      <c r="A564" s="2" t="n">
        <v>46227</v>
      </c>
      <c r="B564" s="3" t="s">
        <v>4</v>
      </c>
      <c r="C564" s="3" t="s">
        <v>5</v>
      </c>
      <c r="D564" s="3" t="n">
        <v>20</v>
      </c>
    </row>
    <row r="565" customFormat="false" ht="15" hidden="false" customHeight="false" outlineLevel="0" collapsed="false">
      <c r="A565" s="2" t="n">
        <v>46227</v>
      </c>
      <c r="B565" s="3" t="s">
        <v>4</v>
      </c>
      <c r="C565" s="3" t="s">
        <v>6</v>
      </c>
      <c r="D565" s="3" t="n">
        <v>7</v>
      </c>
    </row>
    <row r="566" customFormat="false" ht="15" hidden="false" customHeight="false" outlineLevel="0" collapsed="false">
      <c r="A566" s="2" t="n">
        <v>46227</v>
      </c>
      <c r="B566" s="3" t="s">
        <v>4</v>
      </c>
      <c r="C566" s="3" t="s">
        <v>8</v>
      </c>
      <c r="D566" s="3" t="n">
        <v>617</v>
      </c>
    </row>
    <row r="567" customFormat="false" ht="15" hidden="false" customHeight="false" outlineLevel="0" collapsed="false">
      <c r="A567" s="2" t="n">
        <v>46227</v>
      </c>
      <c r="B567" s="3" t="s">
        <v>10</v>
      </c>
      <c r="C567" s="3" t="s">
        <v>11</v>
      </c>
      <c r="D567" s="3" t="n">
        <v>6</v>
      </c>
    </row>
    <row r="568" customFormat="false" ht="15" hidden="false" customHeight="false" outlineLevel="0" collapsed="false">
      <c r="A568" s="2" t="n">
        <v>46227</v>
      </c>
      <c r="B568" s="3" t="s">
        <v>12</v>
      </c>
      <c r="C568" s="3" t="s">
        <v>13</v>
      </c>
      <c r="D568" s="3" t="n">
        <v>115880</v>
      </c>
    </row>
    <row r="569" customFormat="false" ht="15" hidden="false" customHeight="false" outlineLevel="0" collapsed="false">
      <c r="A569" s="2" t="n">
        <v>46227</v>
      </c>
      <c r="B569" s="3" t="s">
        <v>12</v>
      </c>
      <c r="C569" s="3" t="s">
        <v>14</v>
      </c>
      <c r="D569" s="3" t="n">
        <v>4</v>
      </c>
    </row>
    <row r="570" customFormat="false" ht="15" hidden="false" customHeight="false" outlineLevel="0" collapsed="false">
      <c r="A570" s="2" t="n">
        <v>46227</v>
      </c>
      <c r="B570" s="3" t="s">
        <v>15</v>
      </c>
      <c r="C570" s="3" t="s">
        <v>16</v>
      </c>
      <c r="D570" s="3" t="n">
        <v>12</v>
      </c>
    </row>
    <row r="571" customFormat="false" ht="15" hidden="false" customHeight="false" outlineLevel="0" collapsed="false">
      <c r="A571" s="2" t="n">
        <v>46227</v>
      </c>
      <c r="B571" s="3" t="s">
        <v>17</v>
      </c>
      <c r="C571" s="3" t="s">
        <v>16</v>
      </c>
      <c r="D571" s="3" t="n">
        <v>103</v>
      </c>
    </row>
    <row r="572" customFormat="false" ht="15" hidden="false" customHeight="false" outlineLevel="0" collapsed="false">
      <c r="A572" s="2" t="n">
        <v>46227</v>
      </c>
      <c r="B572" s="3" t="s">
        <v>18</v>
      </c>
      <c r="C572" s="3" t="s">
        <v>11</v>
      </c>
      <c r="D572" s="3" t="n">
        <v>462</v>
      </c>
    </row>
    <row r="573" customFormat="false" ht="15" hidden="false" customHeight="false" outlineLevel="0" collapsed="false">
      <c r="A573" s="2" t="n">
        <v>46227</v>
      </c>
      <c r="B573" s="3" t="s">
        <v>19</v>
      </c>
      <c r="C573" s="3" t="s">
        <v>20</v>
      </c>
      <c r="D573" s="3" t="n">
        <v>58</v>
      </c>
    </row>
    <row r="574" customFormat="false" ht="15" hidden="false" customHeight="false" outlineLevel="0" collapsed="false">
      <c r="A574" s="2" t="n">
        <v>46227</v>
      </c>
      <c r="B574" s="3" t="s">
        <v>19</v>
      </c>
      <c r="C574" s="3" t="s">
        <v>21</v>
      </c>
      <c r="D574" s="3" t="n">
        <v>102</v>
      </c>
    </row>
    <row r="575" customFormat="false" ht="15" hidden="false" customHeight="false" outlineLevel="0" collapsed="false">
      <c r="A575" s="2" t="n">
        <v>46227</v>
      </c>
      <c r="B575" s="3" t="s">
        <v>19</v>
      </c>
      <c r="C575" s="3" t="s">
        <v>22</v>
      </c>
      <c r="D575" s="3" t="n">
        <v>1</v>
      </c>
    </row>
    <row r="576" customFormat="false" ht="15" hidden="false" customHeight="false" outlineLevel="0" collapsed="false">
      <c r="A576" s="2" t="n">
        <v>46227</v>
      </c>
      <c r="B576" s="3" t="s">
        <v>19</v>
      </c>
      <c r="C576" s="3" t="s">
        <v>23</v>
      </c>
      <c r="D576" s="3" t="n">
        <v>148</v>
      </c>
    </row>
    <row r="577" customFormat="false" ht="15" hidden="false" customHeight="false" outlineLevel="0" collapsed="false">
      <c r="A577" s="2" t="n">
        <v>46227</v>
      </c>
      <c r="B577" s="3" t="s">
        <v>19</v>
      </c>
      <c r="C577" s="3" t="s">
        <v>24</v>
      </c>
      <c r="D577" s="3" t="n">
        <v>142</v>
      </c>
    </row>
    <row r="578" customFormat="false" ht="15" hidden="false" customHeight="false" outlineLevel="0" collapsed="false">
      <c r="A578" s="2" t="n">
        <v>46227</v>
      </c>
      <c r="B578" s="3" t="s">
        <v>25</v>
      </c>
      <c r="C578" s="3" t="s">
        <v>11</v>
      </c>
      <c r="D578" s="3" t="n">
        <v>2187</v>
      </c>
    </row>
    <row r="579" customFormat="false" ht="15" hidden="false" customHeight="false" outlineLevel="0" collapsed="false">
      <c r="A579" s="2" t="n">
        <v>46227</v>
      </c>
      <c r="B579" s="3" t="s">
        <v>25</v>
      </c>
      <c r="C579" s="3" t="s">
        <v>26</v>
      </c>
      <c r="D579" s="3" t="n">
        <v>70</v>
      </c>
    </row>
    <row r="580" customFormat="false" ht="15" hidden="false" customHeight="false" outlineLevel="0" collapsed="false">
      <c r="A580" s="2" t="n">
        <v>46227</v>
      </c>
      <c r="B580" s="3" t="s">
        <v>25</v>
      </c>
      <c r="C580" s="3" t="s">
        <v>14</v>
      </c>
      <c r="D580" s="3" t="n">
        <v>143</v>
      </c>
    </row>
    <row r="581" customFormat="false" ht="15" hidden="false" customHeight="false" outlineLevel="0" collapsed="false">
      <c r="A581" s="2" t="n">
        <v>46227</v>
      </c>
      <c r="B581" s="3" t="s">
        <v>27</v>
      </c>
      <c r="C581" s="3" t="s">
        <v>14</v>
      </c>
      <c r="D581" s="3" t="n">
        <v>72</v>
      </c>
    </row>
    <row r="582" customFormat="false" ht="15" hidden="false" customHeight="false" outlineLevel="0" collapsed="false">
      <c r="A582" s="2" t="n">
        <v>46227</v>
      </c>
      <c r="B582" s="3" t="s">
        <v>27</v>
      </c>
      <c r="C582" s="3" t="s">
        <v>28</v>
      </c>
      <c r="D582" s="3" t="n">
        <v>77</v>
      </c>
    </row>
    <row r="583" customFormat="false" ht="15" hidden="false" customHeight="false" outlineLevel="0" collapsed="false">
      <c r="A583" s="2" t="n">
        <v>46227</v>
      </c>
      <c r="B583" s="3" t="s">
        <v>29</v>
      </c>
      <c r="C583" s="3" t="s">
        <v>16</v>
      </c>
      <c r="D583" s="3" t="n">
        <v>158</v>
      </c>
    </row>
    <row r="584" customFormat="false" ht="15" hidden="false" customHeight="false" outlineLevel="0" collapsed="false">
      <c r="A584" s="2" t="n">
        <v>46227</v>
      </c>
      <c r="B584" s="3" t="s">
        <v>30</v>
      </c>
      <c r="C584" s="3" t="s">
        <v>11</v>
      </c>
      <c r="D584" s="3" t="n">
        <v>10</v>
      </c>
    </row>
    <row r="585" customFormat="false" ht="15" hidden="false" customHeight="false" outlineLevel="0" collapsed="false">
      <c r="A585" s="2" t="n">
        <v>46227</v>
      </c>
      <c r="B585" s="3" t="s">
        <v>31</v>
      </c>
      <c r="C585" s="3" t="s">
        <v>32</v>
      </c>
      <c r="D585" s="3" t="n">
        <v>170</v>
      </c>
    </row>
    <row r="586" customFormat="false" ht="15" hidden="false" customHeight="false" outlineLevel="0" collapsed="false">
      <c r="A586" s="2" t="n">
        <v>46227</v>
      </c>
      <c r="B586" s="3" t="s">
        <v>31</v>
      </c>
      <c r="C586" s="3" t="s">
        <v>33</v>
      </c>
      <c r="D586" s="3" t="n">
        <v>3012</v>
      </c>
    </row>
    <row r="587" customFormat="false" ht="15" hidden="false" customHeight="false" outlineLevel="0" collapsed="false">
      <c r="A587" s="2" t="n">
        <v>46227</v>
      </c>
      <c r="B587" s="3" t="s">
        <v>31</v>
      </c>
      <c r="C587" s="3" t="s">
        <v>34</v>
      </c>
      <c r="D587" s="3" t="n">
        <v>2842</v>
      </c>
    </row>
    <row r="588" customFormat="false" ht="15" hidden="false" customHeight="false" outlineLevel="0" collapsed="false">
      <c r="A588" s="2" t="n">
        <v>46227</v>
      </c>
      <c r="B588" s="3" t="s">
        <v>31</v>
      </c>
      <c r="C588" s="3" t="s">
        <v>23</v>
      </c>
      <c r="D588" s="3" t="n">
        <v>256</v>
      </c>
    </row>
    <row r="589" customFormat="false" ht="15" hidden="false" customHeight="false" outlineLevel="0" collapsed="false">
      <c r="A589" s="2" t="n">
        <v>46227</v>
      </c>
      <c r="B589" s="3" t="s">
        <v>31</v>
      </c>
      <c r="C589" s="3" t="s">
        <v>35</v>
      </c>
      <c r="D589" s="3" t="n">
        <v>298</v>
      </c>
    </row>
    <row r="590" customFormat="false" ht="15" hidden="false" customHeight="false" outlineLevel="0" collapsed="false">
      <c r="A590" s="2" t="n">
        <v>46227</v>
      </c>
      <c r="B590" s="3" t="s">
        <v>31</v>
      </c>
      <c r="C590" s="3" t="s">
        <v>24</v>
      </c>
      <c r="D590" s="3" t="n">
        <v>8</v>
      </c>
    </row>
    <row r="591" customFormat="false" ht="15" hidden="false" customHeight="false" outlineLevel="0" collapsed="false">
      <c r="A591" s="2" t="n">
        <v>46227</v>
      </c>
      <c r="B591" s="3" t="s">
        <v>31</v>
      </c>
      <c r="C591" s="3" t="s">
        <v>20</v>
      </c>
      <c r="D591" s="3" t="n">
        <v>440</v>
      </c>
    </row>
    <row r="592" customFormat="false" ht="15" hidden="false" customHeight="false" outlineLevel="0" collapsed="false">
      <c r="A592" s="2" t="n">
        <v>46227</v>
      </c>
      <c r="B592" s="3" t="s">
        <v>31</v>
      </c>
      <c r="C592" s="3" t="s">
        <v>22</v>
      </c>
      <c r="D592" s="3" t="n">
        <v>46</v>
      </c>
    </row>
    <row r="593" customFormat="false" ht="15" hidden="false" customHeight="false" outlineLevel="0" collapsed="false">
      <c r="A593" s="2" t="n">
        <v>46227</v>
      </c>
      <c r="B593" s="3" t="s">
        <v>36</v>
      </c>
      <c r="C593" s="3" t="s">
        <v>37</v>
      </c>
      <c r="D593" s="3" t="n">
        <v>847</v>
      </c>
    </row>
    <row r="594" customFormat="false" ht="15" hidden="false" customHeight="false" outlineLevel="0" collapsed="false">
      <c r="A594" s="2" t="n">
        <v>46227</v>
      </c>
      <c r="B594" s="3" t="s">
        <v>36</v>
      </c>
      <c r="C594" s="3" t="s">
        <v>38</v>
      </c>
      <c r="D594" s="3" t="n">
        <v>847</v>
      </c>
    </row>
    <row r="595" customFormat="false" ht="15" hidden="false" customHeight="false" outlineLevel="0" collapsed="false">
      <c r="A595" s="2" t="n">
        <v>46227</v>
      </c>
      <c r="B595" s="3" t="s">
        <v>36</v>
      </c>
      <c r="C595" s="3" t="s">
        <v>39</v>
      </c>
      <c r="D595" s="3" t="n">
        <v>583</v>
      </c>
    </row>
    <row r="596" customFormat="false" ht="15" hidden="false" customHeight="false" outlineLevel="0" collapsed="false">
      <c r="A596" s="2" t="n">
        <v>46227</v>
      </c>
      <c r="B596" s="3" t="s">
        <v>36</v>
      </c>
      <c r="C596" s="3" t="s">
        <v>40</v>
      </c>
      <c r="D596" s="3" t="n">
        <v>3</v>
      </c>
    </row>
    <row r="597" customFormat="false" ht="15" hidden="false" customHeight="false" outlineLevel="0" collapsed="false">
      <c r="A597" s="2" t="n">
        <v>46227</v>
      </c>
      <c r="B597" s="3" t="s">
        <v>36</v>
      </c>
      <c r="C597" s="3" t="s">
        <v>11</v>
      </c>
      <c r="D597" s="3" t="n">
        <v>40168</v>
      </c>
    </row>
    <row r="598" customFormat="false" ht="15" hidden="false" customHeight="false" outlineLevel="0" collapsed="false">
      <c r="A598" s="2" t="n">
        <v>46227</v>
      </c>
      <c r="B598" s="3" t="s">
        <v>36</v>
      </c>
      <c r="C598" s="3" t="s">
        <v>14</v>
      </c>
      <c r="D598" s="3" t="n">
        <v>5</v>
      </c>
    </row>
    <row r="599" customFormat="false" ht="15" hidden="false" customHeight="false" outlineLevel="0" collapsed="false">
      <c r="A599" s="2" t="n">
        <v>46227</v>
      </c>
      <c r="B599" s="3" t="s">
        <v>41</v>
      </c>
      <c r="C599" s="3" t="s">
        <v>14</v>
      </c>
      <c r="D599" s="3" t="n">
        <v>10</v>
      </c>
    </row>
    <row r="600" customFormat="false" ht="15" hidden="false" customHeight="false" outlineLevel="0" collapsed="false">
      <c r="A600" s="2" t="n">
        <v>46227</v>
      </c>
      <c r="B600" s="3" t="s">
        <v>41</v>
      </c>
      <c r="C600" s="3" t="s">
        <v>26</v>
      </c>
      <c r="D600" s="3" t="n">
        <v>159</v>
      </c>
    </row>
    <row r="601" customFormat="false" ht="15" hidden="false" customHeight="false" outlineLevel="0" collapsed="false">
      <c r="A601" s="2" t="n">
        <v>46227</v>
      </c>
      <c r="B601" s="3" t="s">
        <v>41</v>
      </c>
      <c r="C601" s="3" t="s">
        <v>38</v>
      </c>
      <c r="D601" s="3" t="n">
        <v>267</v>
      </c>
    </row>
    <row r="602" customFormat="false" ht="15" hidden="false" customHeight="false" outlineLevel="0" collapsed="false">
      <c r="A602" s="2" t="n">
        <v>46227</v>
      </c>
      <c r="B602" s="3" t="s">
        <v>41</v>
      </c>
      <c r="C602" s="3" t="s">
        <v>28</v>
      </c>
      <c r="D602" s="3" t="n">
        <v>137</v>
      </c>
    </row>
    <row r="603" customFormat="false" ht="15" hidden="false" customHeight="false" outlineLevel="0" collapsed="false">
      <c r="A603" s="2" t="n">
        <v>46227</v>
      </c>
      <c r="B603" s="3" t="s">
        <v>41</v>
      </c>
      <c r="C603" s="3" t="s">
        <v>39</v>
      </c>
      <c r="D603" s="3" t="n">
        <v>220</v>
      </c>
    </row>
    <row r="604" customFormat="false" ht="15" hidden="false" customHeight="false" outlineLevel="0" collapsed="false">
      <c r="A604" s="2" t="n">
        <v>46227</v>
      </c>
      <c r="B604" s="3" t="s">
        <v>41</v>
      </c>
      <c r="C604" s="3" t="s">
        <v>42</v>
      </c>
      <c r="D604" s="3" t="n">
        <v>2</v>
      </c>
    </row>
    <row r="605" customFormat="false" ht="15" hidden="false" customHeight="false" outlineLevel="0" collapsed="false">
      <c r="A605" s="2" t="n">
        <v>46227</v>
      </c>
      <c r="B605" s="3" t="s">
        <v>41</v>
      </c>
      <c r="C605" s="3" t="s">
        <v>11</v>
      </c>
      <c r="D605" s="3" t="n">
        <v>1208</v>
      </c>
    </row>
    <row r="606" customFormat="false" ht="15" hidden="false" customHeight="false" outlineLevel="0" collapsed="false">
      <c r="A606" s="2" t="n">
        <v>46227</v>
      </c>
      <c r="B606" s="3" t="s">
        <v>43</v>
      </c>
      <c r="C606" s="3" t="s">
        <v>16</v>
      </c>
      <c r="D606" s="3" t="n">
        <v>293</v>
      </c>
    </row>
    <row r="607" customFormat="false" ht="15" hidden="false" customHeight="false" outlineLevel="0" collapsed="false">
      <c r="A607" s="2" t="n">
        <v>46227</v>
      </c>
      <c r="B607" s="3" t="s">
        <v>44</v>
      </c>
      <c r="C607" s="3" t="s">
        <v>16</v>
      </c>
      <c r="D607" s="3" t="n">
        <v>5</v>
      </c>
    </row>
    <row r="608" customFormat="false" ht="15" hidden="false" customHeight="false" outlineLevel="0" collapsed="false">
      <c r="A608" s="2" t="n">
        <v>46227</v>
      </c>
      <c r="B608" s="3" t="s">
        <v>46</v>
      </c>
      <c r="C608" s="3" t="s">
        <v>16</v>
      </c>
      <c r="D608" s="3" t="n">
        <v>6809</v>
      </c>
    </row>
    <row r="609" customFormat="false" ht="15" hidden="false" customHeight="false" outlineLevel="0" collapsed="false">
      <c r="A609" s="2" t="n">
        <v>46227</v>
      </c>
      <c r="B609" s="3" t="s">
        <v>47</v>
      </c>
      <c r="C609" s="3" t="s">
        <v>16</v>
      </c>
      <c r="D609" s="3" t="n">
        <v>60</v>
      </c>
    </row>
    <row r="610" customFormat="false" ht="15" hidden="false" customHeight="false" outlineLevel="0" collapsed="false">
      <c r="A610" s="2" t="n">
        <v>46227</v>
      </c>
      <c r="B610" s="3" t="s">
        <v>48</v>
      </c>
      <c r="C610" s="3" t="s">
        <v>14</v>
      </c>
      <c r="D610" s="3" t="n">
        <v>7</v>
      </c>
    </row>
    <row r="611" customFormat="false" ht="15" hidden="false" customHeight="false" outlineLevel="0" collapsed="false">
      <c r="A611" s="2" t="n">
        <v>46227</v>
      </c>
      <c r="B611" s="3" t="s">
        <v>48</v>
      </c>
      <c r="C611" s="3" t="s">
        <v>38</v>
      </c>
      <c r="D611" s="3" t="n">
        <v>6</v>
      </c>
    </row>
    <row r="612" customFormat="false" ht="15" hidden="false" customHeight="false" outlineLevel="0" collapsed="false">
      <c r="A612" s="2" t="n">
        <v>46227</v>
      </c>
      <c r="B612" s="3" t="s">
        <v>48</v>
      </c>
      <c r="C612" s="3" t="s">
        <v>39</v>
      </c>
      <c r="D612" s="3" t="n">
        <v>6</v>
      </c>
    </row>
    <row r="613" customFormat="false" ht="15" hidden="false" customHeight="false" outlineLevel="0" collapsed="false">
      <c r="A613" s="2" t="n">
        <v>46227</v>
      </c>
      <c r="B613" s="3" t="s">
        <v>49</v>
      </c>
      <c r="C613" s="3" t="s">
        <v>40</v>
      </c>
      <c r="D613" s="3" t="n">
        <v>12642</v>
      </c>
    </row>
    <row r="614" customFormat="false" ht="15" hidden="false" customHeight="false" outlineLevel="0" collapsed="false">
      <c r="A614" s="2" t="n">
        <v>46227</v>
      </c>
      <c r="B614" s="3" t="s">
        <v>50</v>
      </c>
      <c r="C614" s="3" t="s">
        <v>40</v>
      </c>
      <c r="D614" s="3" t="n">
        <v>12255</v>
      </c>
    </row>
    <row r="615" customFormat="false" ht="15" hidden="false" customHeight="false" outlineLevel="0" collapsed="false">
      <c r="A615" s="2" t="n">
        <v>46227</v>
      </c>
      <c r="B615" s="3" t="s">
        <v>51</v>
      </c>
      <c r="C615" s="3" t="s">
        <v>32</v>
      </c>
      <c r="D615" s="3" t="n">
        <v>1772</v>
      </c>
    </row>
    <row r="616" customFormat="false" ht="15" hidden="false" customHeight="false" outlineLevel="0" collapsed="false">
      <c r="A616" s="2" t="n">
        <v>46227</v>
      </c>
      <c r="B616" s="3" t="s">
        <v>51</v>
      </c>
      <c r="C616" s="3" t="s">
        <v>33</v>
      </c>
      <c r="D616" s="3" t="n">
        <v>6870</v>
      </c>
    </row>
    <row r="617" customFormat="false" ht="15" hidden="false" customHeight="false" outlineLevel="0" collapsed="false">
      <c r="A617" s="2" t="n">
        <v>46227</v>
      </c>
      <c r="B617" s="3" t="s">
        <v>51</v>
      </c>
      <c r="C617" s="3" t="s">
        <v>34</v>
      </c>
      <c r="D617" s="3" t="n">
        <v>5111</v>
      </c>
    </row>
    <row r="618" customFormat="false" ht="15" hidden="false" customHeight="false" outlineLevel="0" collapsed="false">
      <c r="A618" s="2" t="n">
        <v>46227</v>
      </c>
      <c r="B618" s="3" t="s">
        <v>51</v>
      </c>
      <c r="C618" s="3" t="s">
        <v>20</v>
      </c>
      <c r="D618" s="3" t="n">
        <v>5716</v>
      </c>
    </row>
    <row r="619" customFormat="false" ht="15" hidden="false" customHeight="false" outlineLevel="0" collapsed="false">
      <c r="A619" s="2" t="n">
        <v>46227</v>
      </c>
      <c r="B619" s="3" t="s">
        <v>51</v>
      </c>
      <c r="C619" s="3" t="s">
        <v>22</v>
      </c>
      <c r="D619" s="3" t="n">
        <v>2967</v>
      </c>
    </row>
    <row r="620" customFormat="false" ht="15" hidden="false" customHeight="false" outlineLevel="0" collapsed="false">
      <c r="A620" s="2" t="n">
        <v>46227</v>
      </c>
      <c r="B620" s="3" t="s">
        <v>52</v>
      </c>
      <c r="C620" s="3" t="s">
        <v>11</v>
      </c>
      <c r="D620" s="3" t="n">
        <v>12898</v>
      </c>
    </row>
    <row r="621" customFormat="false" ht="15" hidden="false" customHeight="false" outlineLevel="0" collapsed="false">
      <c r="A621" s="2" t="n">
        <v>46227</v>
      </c>
      <c r="B621" s="3" t="s">
        <v>53</v>
      </c>
      <c r="C621" s="3" t="s">
        <v>39</v>
      </c>
      <c r="D621" s="3" t="n">
        <v>703</v>
      </c>
    </row>
    <row r="622" customFormat="false" ht="15" hidden="false" customHeight="false" outlineLevel="0" collapsed="false">
      <c r="A622" s="2" t="n">
        <v>46227</v>
      </c>
      <c r="B622" s="3" t="s">
        <v>53</v>
      </c>
      <c r="C622" s="3" t="s">
        <v>14</v>
      </c>
      <c r="D622" s="3" t="n">
        <v>2</v>
      </c>
    </row>
    <row r="623" customFormat="false" ht="15" hidden="false" customHeight="false" outlineLevel="0" collapsed="false">
      <c r="A623" s="2" t="n">
        <v>46227</v>
      </c>
      <c r="B623" s="3" t="s">
        <v>54</v>
      </c>
      <c r="C623" s="3" t="s">
        <v>14</v>
      </c>
      <c r="D623" s="3" t="n">
        <v>4</v>
      </c>
    </row>
    <row r="624" customFormat="false" ht="15" hidden="false" customHeight="false" outlineLevel="0" collapsed="false">
      <c r="A624" s="2" t="n">
        <v>46227</v>
      </c>
      <c r="B624" s="3" t="s">
        <v>54</v>
      </c>
      <c r="C624" s="3" t="s">
        <v>38</v>
      </c>
      <c r="D624" s="3" t="n">
        <v>5266</v>
      </c>
    </row>
    <row r="625" customFormat="false" ht="15" hidden="false" customHeight="false" outlineLevel="0" collapsed="false">
      <c r="A625" s="2" t="n">
        <v>46227</v>
      </c>
      <c r="B625" s="3" t="s">
        <v>54</v>
      </c>
      <c r="C625" s="3" t="s">
        <v>39</v>
      </c>
      <c r="D625" s="3" t="n">
        <v>5698</v>
      </c>
    </row>
    <row r="626" customFormat="false" ht="15" hidden="false" customHeight="false" outlineLevel="0" collapsed="false">
      <c r="A626" s="2" t="n">
        <v>46227</v>
      </c>
      <c r="B626" s="3" t="s">
        <v>55</v>
      </c>
      <c r="C626" s="3" t="s">
        <v>40</v>
      </c>
      <c r="D626" s="3" t="n">
        <v>1218</v>
      </c>
    </row>
    <row r="627" customFormat="false" ht="15" hidden="false" customHeight="false" outlineLevel="0" collapsed="false">
      <c r="A627" s="2" t="n">
        <v>46227</v>
      </c>
      <c r="B627" s="3" t="s">
        <v>56</v>
      </c>
      <c r="C627" s="3" t="s">
        <v>39</v>
      </c>
      <c r="D627" s="3" t="n">
        <v>1242</v>
      </c>
    </row>
    <row r="628" customFormat="false" ht="15" hidden="false" customHeight="false" outlineLevel="0" collapsed="false">
      <c r="A628" s="2" t="n">
        <v>46227</v>
      </c>
      <c r="B628" s="3" t="s">
        <v>56</v>
      </c>
      <c r="C628" s="3" t="s">
        <v>14</v>
      </c>
      <c r="D628" s="3" t="n">
        <v>2</v>
      </c>
    </row>
    <row r="629" customFormat="false" ht="15" hidden="false" customHeight="false" outlineLevel="0" collapsed="false">
      <c r="A629" s="2" t="n">
        <v>46227</v>
      </c>
      <c r="B629" s="3" t="s">
        <v>57</v>
      </c>
      <c r="C629" s="3" t="s">
        <v>14</v>
      </c>
      <c r="D629" s="3" t="n">
        <v>3</v>
      </c>
    </row>
    <row r="630" customFormat="false" ht="15" hidden="false" customHeight="false" outlineLevel="0" collapsed="false">
      <c r="A630" s="2" t="n">
        <v>46227</v>
      </c>
      <c r="B630" s="3" t="s">
        <v>57</v>
      </c>
      <c r="C630" s="3" t="s">
        <v>38</v>
      </c>
      <c r="D630" s="3" t="n">
        <v>115</v>
      </c>
    </row>
    <row r="631" customFormat="false" ht="15" hidden="false" customHeight="false" outlineLevel="0" collapsed="false">
      <c r="A631" s="2" t="n">
        <v>46227</v>
      </c>
      <c r="B631" s="3" t="s">
        <v>57</v>
      </c>
      <c r="C631" s="3" t="s">
        <v>39</v>
      </c>
      <c r="D631" s="3" t="n">
        <v>5</v>
      </c>
    </row>
    <row r="632" customFormat="false" ht="15" hidden="false" customHeight="false" outlineLevel="0" collapsed="false">
      <c r="A632" s="2" t="n">
        <v>46227</v>
      </c>
      <c r="B632" s="3" t="s">
        <v>58</v>
      </c>
      <c r="C632" s="3" t="s">
        <v>39</v>
      </c>
      <c r="D632" s="3" t="n">
        <v>85</v>
      </c>
    </row>
    <row r="633" customFormat="false" ht="15" hidden="false" customHeight="false" outlineLevel="0" collapsed="false">
      <c r="A633" s="2" t="n">
        <v>46227</v>
      </c>
      <c r="B633" s="3" t="s">
        <v>58</v>
      </c>
      <c r="C633" s="3" t="s">
        <v>14</v>
      </c>
      <c r="D633" s="3" t="n">
        <v>2</v>
      </c>
    </row>
    <row r="634" customFormat="false" ht="15" hidden="false" customHeight="false" outlineLevel="0" collapsed="false">
      <c r="A634" s="2" t="n">
        <v>46227</v>
      </c>
      <c r="B634" s="3" t="s">
        <v>59</v>
      </c>
      <c r="C634" s="3" t="s">
        <v>14</v>
      </c>
      <c r="D634" s="3" t="n">
        <v>3</v>
      </c>
    </row>
    <row r="635" customFormat="false" ht="15" hidden="false" customHeight="false" outlineLevel="0" collapsed="false">
      <c r="A635" s="2" t="n">
        <v>46227</v>
      </c>
      <c r="B635" s="3" t="s">
        <v>59</v>
      </c>
      <c r="C635" s="3" t="s">
        <v>39</v>
      </c>
      <c r="D635" s="3" t="n">
        <v>4</v>
      </c>
    </row>
    <row r="636" customFormat="false" ht="15" hidden="false" customHeight="false" outlineLevel="0" collapsed="false">
      <c r="A636" s="2" t="n">
        <v>46227</v>
      </c>
      <c r="B636" s="3" t="s">
        <v>60</v>
      </c>
      <c r="C636" s="3" t="s">
        <v>38</v>
      </c>
      <c r="D636" s="3" t="n">
        <v>613</v>
      </c>
    </row>
    <row r="637" customFormat="false" ht="15" hidden="false" customHeight="false" outlineLevel="0" collapsed="false">
      <c r="A637" s="2" t="n">
        <v>46227</v>
      </c>
      <c r="B637" s="3" t="s">
        <v>60</v>
      </c>
      <c r="C637" s="3" t="s">
        <v>39</v>
      </c>
      <c r="D637" s="3" t="n">
        <v>1278</v>
      </c>
    </row>
    <row r="638" customFormat="false" ht="15" hidden="false" customHeight="false" outlineLevel="0" collapsed="false">
      <c r="A638" s="2" t="n">
        <v>46227</v>
      </c>
      <c r="B638" s="3" t="s">
        <v>60</v>
      </c>
      <c r="C638" s="3" t="s">
        <v>14</v>
      </c>
      <c r="D638" s="3" t="n">
        <v>3</v>
      </c>
    </row>
    <row r="639" customFormat="false" ht="15" hidden="false" customHeight="false" outlineLevel="0" collapsed="false">
      <c r="A639" s="2" t="n">
        <v>46227</v>
      </c>
      <c r="B639" s="3" t="s">
        <v>61</v>
      </c>
      <c r="C639" s="3" t="s">
        <v>14</v>
      </c>
      <c r="D639" s="3" t="n">
        <v>3</v>
      </c>
    </row>
    <row r="640" customFormat="false" ht="15" hidden="false" customHeight="false" outlineLevel="0" collapsed="false">
      <c r="A640" s="2" t="n">
        <v>46227</v>
      </c>
      <c r="B640" s="3" t="s">
        <v>61</v>
      </c>
      <c r="C640" s="3" t="s">
        <v>38</v>
      </c>
      <c r="D640" s="3" t="n">
        <v>53</v>
      </c>
    </row>
    <row r="641" customFormat="false" ht="15" hidden="false" customHeight="false" outlineLevel="0" collapsed="false">
      <c r="A641" s="2" t="n">
        <v>46227</v>
      </c>
      <c r="B641" s="3" t="s">
        <v>61</v>
      </c>
      <c r="C641" s="3" t="s">
        <v>39</v>
      </c>
      <c r="D641" s="3" t="n">
        <v>90</v>
      </c>
    </row>
    <row r="642" customFormat="false" ht="15" hidden="false" customHeight="false" outlineLevel="0" collapsed="false">
      <c r="A642" s="2" t="n">
        <v>46227</v>
      </c>
      <c r="B642" s="3" t="s">
        <v>62</v>
      </c>
      <c r="C642" s="3" t="s">
        <v>38</v>
      </c>
      <c r="D642" s="3" t="n">
        <v>3265</v>
      </c>
    </row>
    <row r="643" customFormat="false" ht="15" hidden="false" customHeight="false" outlineLevel="0" collapsed="false">
      <c r="A643" s="2" t="n">
        <v>46227</v>
      </c>
      <c r="B643" s="3" t="s">
        <v>62</v>
      </c>
      <c r="C643" s="3" t="s">
        <v>39</v>
      </c>
      <c r="D643" s="3" t="n">
        <v>332</v>
      </c>
    </row>
    <row r="644" customFormat="false" ht="15" hidden="false" customHeight="false" outlineLevel="0" collapsed="false">
      <c r="A644" s="2" t="n">
        <v>46227</v>
      </c>
      <c r="B644" s="3" t="s">
        <v>62</v>
      </c>
      <c r="C644" s="3" t="s">
        <v>14</v>
      </c>
      <c r="D644" s="3" t="n">
        <v>1</v>
      </c>
    </row>
    <row r="645" customFormat="false" ht="15" hidden="false" customHeight="false" outlineLevel="0" collapsed="false">
      <c r="A645" s="2" t="n">
        <v>46227</v>
      </c>
      <c r="B645" s="3" t="s">
        <v>63</v>
      </c>
      <c r="C645" s="3" t="s">
        <v>40</v>
      </c>
      <c r="D645" s="3" t="n">
        <v>3350</v>
      </c>
    </row>
    <row r="646" customFormat="false" ht="15" hidden="false" customHeight="false" outlineLevel="0" collapsed="false">
      <c r="A646" s="2" t="n">
        <v>46227</v>
      </c>
      <c r="B646" s="3" t="s">
        <v>64</v>
      </c>
      <c r="C646" s="3" t="s">
        <v>40</v>
      </c>
      <c r="D646" s="3" t="n">
        <v>16</v>
      </c>
    </row>
    <row r="647" customFormat="false" ht="15" hidden="false" customHeight="false" outlineLevel="0" collapsed="false">
      <c r="A647" s="2" t="n">
        <v>46227</v>
      </c>
      <c r="B647" s="3" t="s">
        <v>65</v>
      </c>
      <c r="C647" s="3" t="s">
        <v>40</v>
      </c>
      <c r="D647" s="3" t="n">
        <v>34</v>
      </c>
    </row>
    <row r="648" customFormat="false" ht="15" hidden="false" customHeight="false" outlineLevel="0" collapsed="false">
      <c r="A648" s="2" t="n">
        <v>46227</v>
      </c>
      <c r="B648" s="3" t="s">
        <v>66</v>
      </c>
      <c r="C648" s="3" t="s">
        <v>40</v>
      </c>
      <c r="D648" s="3" t="n">
        <v>12</v>
      </c>
    </row>
    <row r="649" customFormat="false" ht="15" hidden="false" customHeight="false" outlineLevel="0" collapsed="false">
      <c r="A649" s="2" t="n">
        <v>46227</v>
      </c>
      <c r="B649" s="3" t="s">
        <v>67</v>
      </c>
      <c r="C649" s="3" t="s">
        <v>20</v>
      </c>
      <c r="D649" s="3" t="n">
        <v>3872</v>
      </c>
    </row>
    <row r="650" customFormat="false" ht="15" hidden="false" customHeight="false" outlineLevel="0" collapsed="false">
      <c r="A650" s="2" t="n">
        <v>46227</v>
      </c>
      <c r="B650" s="3" t="s">
        <v>67</v>
      </c>
      <c r="C650" s="3" t="s">
        <v>22</v>
      </c>
      <c r="D650" s="3" t="n">
        <v>3</v>
      </c>
    </row>
    <row r="651" customFormat="false" ht="15" hidden="false" customHeight="false" outlineLevel="0" collapsed="false">
      <c r="A651" s="2" t="n">
        <v>46227</v>
      </c>
      <c r="B651" s="3" t="s">
        <v>67</v>
      </c>
      <c r="C651" s="3" t="s">
        <v>32</v>
      </c>
      <c r="D651" s="3" t="n">
        <v>1585</v>
      </c>
    </row>
    <row r="652" customFormat="false" ht="15" hidden="false" customHeight="false" outlineLevel="0" collapsed="false">
      <c r="A652" s="2" t="n">
        <v>46227</v>
      </c>
      <c r="B652" s="3" t="s">
        <v>67</v>
      </c>
      <c r="C652" s="3" t="s">
        <v>33</v>
      </c>
      <c r="D652" s="3" t="n">
        <v>21795</v>
      </c>
    </row>
    <row r="653" customFormat="false" ht="15" hidden="false" customHeight="false" outlineLevel="0" collapsed="false">
      <c r="A653" s="2" t="n">
        <v>46227</v>
      </c>
      <c r="B653" s="3" t="s">
        <v>67</v>
      </c>
      <c r="C653" s="3" t="s">
        <v>34</v>
      </c>
      <c r="D653" s="3" t="n">
        <v>20210</v>
      </c>
    </row>
    <row r="654" customFormat="false" ht="15" hidden="false" customHeight="false" outlineLevel="0" collapsed="false">
      <c r="A654" s="2" t="n">
        <v>46227</v>
      </c>
      <c r="B654" s="3" t="s">
        <v>68</v>
      </c>
      <c r="C654" s="3" t="s">
        <v>11</v>
      </c>
      <c r="D654" s="3" t="n">
        <v>487</v>
      </c>
    </row>
    <row r="655" customFormat="false" ht="15" hidden="false" customHeight="false" outlineLevel="0" collapsed="false">
      <c r="A655" s="2" t="n">
        <v>46227</v>
      </c>
      <c r="B655" s="3" t="s">
        <v>69</v>
      </c>
      <c r="C655" s="3" t="s">
        <v>70</v>
      </c>
      <c r="D655" s="3" t="n">
        <v>4</v>
      </c>
    </row>
    <row r="656" customFormat="false" ht="15" hidden="false" customHeight="false" outlineLevel="0" collapsed="false">
      <c r="A656" s="2" t="n">
        <v>46227</v>
      </c>
      <c r="B656" s="3" t="s">
        <v>69</v>
      </c>
      <c r="C656" s="3" t="s">
        <v>11</v>
      </c>
      <c r="D656" s="3" t="n">
        <v>57633</v>
      </c>
    </row>
    <row r="657" customFormat="false" ht="15" hidden="false" customHeight="false" outlineLevel="0" collapsed="false">
      <c r="A657" s="2" t="n">
        <v>46227</v>
      </c>
      <c r="B657" s="3" t="s">
        <v>71</v>
      </c>
      <c r="C657" s="3" t="s">
        <v>42</v>
      </c>
      <c r="D657" s="3" t="n">
        <v>4</v>
      </c>
    </row>
    <row r="658" customFormat="false" ht="15" hidden="false" customHeight="false" outlineLevel="0" collapsed="false">
      <c r="A658" s="2" t="n">
        <v>46227</v>
      </c>
      <c r="B658" s="3" t="s">
        <v>71</v>
      </c>
      <c r="C658" s="3" t="s">
        <v>14</v>
      </c>
      <c r="D658" s="3" t="n">
        <v>23995</v>
      </c>
    </row>
    <row r="659" customFormat="false" ht="15" hidden="false" customHeight="false" outlineLevel="0" collapsed="false">
      <c r="A659" s="2" t="n">
        <v>46227</v>
      </c>
      <c r="B659" s="3" t="s">
        <v>71</v>
      </c>
      <c r="C659" s="3" t="s">
        <v>37</v>
      </c>
      <c r="D659" s="3" t="n">
        <v>1</v>
      </c>
    </row>
    <row r="660" customFormat="false" ht="15" hidden="false" customHeight="false" outlineLevel="0" collapsed="false">
      <c r="A660" s="2" t="n">
        <v>46227</v>
      </c>
      <c r="B660" s="3" t="s">
        <v>71</v>
      </c>
      <c r="C660" s="3" t="s">
        <v>38</v>
      </c>
      <c r="D660" s="3" t="n">
        <v>23800</v>
      </c>
    </row>
    <row r="661" customFormat="false" ht="15" hidden="false" customHeight="false" outlineLevel="0" collapsed="false">
      <c r="A661" s="2" t="n">
        <v>46227</v>
      </c>
      <c r="B661" s="3" t="s">
        <v>71</v>
      </c>
      <c r="C661" s="3" t="s">
        <v>39</v>
      </c>
      <c r="D661" s="3" t="n">
        <v>5009</v>
      </c>
    </row>
    <row r="662" customFormat="false" ht="15" hidden="false" customHeight="false" outlineLevel="0" collapsed="false">
      <c r="A662" s="2" t="n">
        <v>46227</v>
      </c>
      <c r="B662" s="3" t="s">
        <v>72</v>
      </c>
      <c r="C662" s="3" t="s">
        <v>40</v>
      </c>
      <c r="D662" s="3" t="n">
        <v>946</v>
      </c>
    </row>
    <row r="663" customFormat="false" ht="15" hidden="false" customHeight="false" outlineLevel="0" collapsed="false">
      <c r="A663" s="2" t="n">
        <v>46227</v>
      </c>
      <c r="B663" s="3" t="s">
        <v>73</v>
      </c>
      <c r="C663" s="3" t="s">
        <v>40</v>
      </c>
      <c r="D663" s="3" t="n">
        <v>123</v>
      </c>
    </row>
    <row r="664" customFormat="false" ht="15" hidden="false" customHeight="false" outlineLevel="0" collapsed="false">
      <c r="A664" s="2" t="n">
        <v>46227</v>
      </c>
      <c r="B664" s="3" t="s">
        <v>74</v>
      </c>
      <c r="C664" s="3" t="s">
        <v>16</v>
      </c>
      <c r="D664" s="3" t="n">
        <v>25</v>
      </c>
    </row>
    <row r="665" customFormat="false" ht="15" hidden="false" customHeight="false" outlineLevel="0" collapsed="false">
      <c r="A665" s="2" t="n">
        <v>46227</v>
      </c>
      <c r="B665" s="3" t="s">
        <v>75</v>
      </c>
      <c r="C665" s="3" t="s">
        <v>11</v>
      </c>
      <c r="D665" s="3" t="n">
        <v>2884</v>
      </c>
    </row>
    <row r="666" customFormat="false" ht="15" hidden="false" customHeight="false" outlineLevel="0" collapsed="false">
      <c r="A666" s="2" t="n">
        <v>46227</v>
      </c>
      <c r="B666" s="3" t="s">
        <v>76</v>
      </c>
      <c r="C666" s="3" t="s">
        <v>11</v>
      </c>
      <c r="D666" s="3" t="n">
        <v>1520</v>
      </c>
    </row>
    <row r="667" customFormat="false" ht="15" hidden="false" customHeight="false" outlineLevel="0" collapsed="false">
      <c r="A667" s="2" t="n">
        <v>46227</v>
      </c>
      <c r="B667" s="3" t="s">
        <v>77</v>
      </c>
      <c r="C667" s="3" t="s">
        <v>21</v>
      </c>
      <c r="D667" s="3" t="n">
        <v>2</v>
      </c>
    </row>
    <row r="668" customFormat="false" ht="15" hidden="false" customHeight="false" outlineLevel="0" collapsed="false">
      <c r="A668" s="2" t="n">
        <v>46227</v>
      </c>
      <c r="B668" s="3" t="s">
        <v>77</v>
      </c>
      <c r="C668" s="3" t="s">
        <v>23</v>
      </c>
      <c r="D668" s="3" t="n">
        <v>68</v>
      </c>
    </row>
    <row r="669" customFormat="false" ht="15" hidden="false" customHeight="false" outlineLevel="0" collapsed="false">
      <c r="A669" s="2" t="n">
        <v>46227</v>
      </c>
      <c r="B669" s="3" t="s">
        <v>77</v>
      </c>
      <c r="C669" s="3" t="s">
        <v>35</v>
      </c>
      <c r="D669" s="3" t="n">
        <v>424</v>
      </c>
    </row>
    <row r="670" customFormat="false" ht="15" hidden="false" customHeight="false" outlineLevel="0" collapsed="false">
      <c r="A670" s="2" t="n">
        <v>46227</v>
      </c>
      <c r="B670" s="3" t="s">
        <v>77</v>
      </c>
      <c r="C670" s="3" t="s">
        <v>78</v>
      </c>
      <c r="D670" s="3" t="n">
        <v>372</v>
      </c>
    </row>
    <row r="671" customFormat="false" ht="15" hidden="false" customHeight="false" outlineLevel="0" collapsed="false">
      <c r="A671" s="2" t="n">
        <v>46227</v>
      </c>
      <c r="B671" s="3" t="s">
        <v>79</v>
      </c>
      <c r="C671" s="3" t="s">
        <v>14</v>
      </c>
      <c r="D671" s="3" t="n">
        <v>1</v>
      </c>
    </row>
    <row r="672" customFormat="false" ht="15" hidden="false" customHeight="false" outlineLevel="0" collapsed="false">
      <c r="A672" s="2" t="n">
        <v>46227</v>
      </c>
      <c r="B672" s="3" t="s">
        <v>80</v>
      </c>
      <c r="C672" s="3" t="s">
        <v>14</v>
      </c>
      <c r="D672" s="3" t="n">
        <v>50</v>
      </c>
    </row>
    <row r="673" customFormat="false" ht="15" hidden="false" customHeight="false" outlineLevel="0" collapsed="false">
      <c r="A673" s="2" t="n">
        <v>46227</v>
      </c>
      <c r="B673" s="3" t="s">
        <v>80</v>
      </c>
      <c r="C673" s="3" t="s">
        <v>40</v>
      </c>
      <c r="D673" s="3" t="n">
        <v>50</v>
      </c>
    </row>
    <row r="674" customFormat="false" ht="15" hidden="false" customHeight="false" outlineLevel="0" collapsed="false">
      <c r="A674" s="2" t="n">
        <v>46227</v>
      </c>
      <c r="B674" s="3" t="s">
        <v>81</v>
      </c>
      <c r="C674" s="3" t="s">
        <v>40</v>
      </c>
      <c r="D674" s="3" t="n">
        <v>4184</v>
      </c>
    </row>
    <row r="675" customFormat="false" ht="15" hidden="false" customHeight="false" outlineLevel="0" collapsed="false">
      <c r="A675" s="2" t="n">
        <v>46227</v>
      </c>
      <c r="B675" s="3" t="s">
        <v>82</v>
      </c>
      <c r="C675" s="3" t="s">
        <v>16</v>
      </c>
      <c r="D675" s="3" t="n">
        <v>16</v>
      </c>
    </row>
    <row r="676" customFormat="false" ht="15" hidden="false" customHeight="false" outlineLevel="0" collapsed="false">
      <c r="A676" s="2" t="n">
        <v>46227</v>
      </c>
      <c r="B676" s="3" t="s">
        <v>83</v>
      </c>
      <c r="C676" s="3" t="s">
        <v>16</v>
      </c>
      <c r="D676" s="3" t="n">
        <v>34</v>
      </c>
    </row>
    <row r="677" customFormat="false" ht="15" hidden="false" customHeight="false" outlineLevel="0" collapsed="false">
      <c r="A677" s="2" t="n">
        <v>46227</v>
      </c>
      <c r="B677" s="3" t="s">
        <v>84</v>
      </c>
      <c r="C677" s="3" t="s">
        <v>11</v>
      </c>
      <c r="D677" s="3" t="n">
        <v>10658</v>
      </c>
    </row>
    <row r="678" customFormat="false" ht="15" hidden="false" customHeight="false" outlineLevel="0" collapsed="false">
      <c r="A678" s="2" t="n">
        <v>46227</v>
      </c>
      <c r="B678" s="3" t="s">
        <v>92</v>
      </c>
      <c r="C678" s="3" t="s">
        <v>40</v>
      </c>
      <c r="D678" s="3" t="n">
        <v>6</v>
      </c>
    </row>
    <row r="679" customFormat="false" ht="15" hidden="false" customHeight="false" outlineLevel="0" collapsed="false">
      <c r="A679" s="2" t="n">
        <v>46227</v>
      </c>
      <c r="B679" s="3" t="s">
        <v>92</v>
      </c>
      <c r="C679" s="3" t="s">
        <v>11</v>
      </c>
      <c r="D679" s="3" t="n">
        <v>1</v>
      </c>
    </row>
    <row r="680" customFormat="false" ht="15" hidden="false" customHeight="false" outlineLevel="0" collapsed="false">
      <c r="A680" s="2" t="n">
        <v>46227</v>
      </c>
      <c r="B680" s="3" t="s">
        <v>93</v>
      </c>
      <c r="C680" s="3" t="s">
        <v>9</v>
      </c>
      <c r="D680" s="3" t="n">
        <v>7</v>
      </c>
    </row>
    <row r="681" customFormat="false" ht="15" hidden="false" customHeight="false" outlineLevel="0" collapsed="false">
      <c r="A681" s="2" t="n">
        <v>46227</v>
      </c>
      <c r="B681" s="3" t="s">
        <v>94</v>
      </c>
      <c r="C681" s="3" t="s">
        <v>11</v>
      </c>
      <c r="D681" s="3" t="n">
        <v>87</v>
      </c>
    </row>
    <row r="682" customFormat="false" ht="15" hidden="false" customHeight="false" outlineLevel="0" collapsed="false">
      <c r="A682" s="2" t="n">
        <v>46227</v>
      </c>
      <c r="B682" s="3" t="s">
        <v>114</v>
      </c>
      <c r="C682" s="3" t="s">
        <v>14</v>
      </c>
      <c r="D682" s="3" t="n">
        <v>2</v>
      </c>
    </row>
    <row r="683" customFormat="false" ht="15" hidden="false" customHeight="false" outlineLevel="0" collapsed="false">
      <c r="A683" s="2" t="n">
        <v>46227</v>
      </c>
      <c r="B683" s="3" t="s">
        <v>114</v>
      </c>
      <c r="C683" s="3" t="s">
        <v>38</v>
      </c>
      <c r="D683" s="3" t="n">
        <v>1</v>
      </c>
    </row>
    <row r="684" customFormat="false" ht="15" hidden="false" customHeight="false" outlineLevel="0" collapsed="false">
      <c r="A684" s="2" t="n">
        <v>46227</v>
      </c>
      <c r="B684" s="3" t="s">
        <v>114</v>
      </c>
      <c r="C684" s="3" t="s">
        <v>39</v>
      </c>
      <c r="D684" s="3" t="n">
        <v>1</v>
      </c>
    </row>
    <row r="685" customFormat="false" ht="15" hidden="false" customHeight="false" outlineLevel="0" collapsed="false">
      <c r="A685" s="2" t="n">
        <v>46227</v>
      </c>
      <c r="B685" s="3" t="s">
        <v>95</v>
      </c>
      <c r="C685" s="3" t="s">
        <v>11</v>
      </c>
      <c r="D685" s="3" t="n">
        <v>117</v>
      </c>
    </row>
    <row r="686" customFormat="false" ht="15" hidden="false" customHeight="false" outlineLevel="0" collapsed="false">
      <c r="A686" s="2" t="n">
        <v>46227</v>
      </c>
      <c r="B686" s="3" t="s">
        <v>96</v>
      </c>
      <c r="C686" s="3" t="s">
        <v>40</v>
      </c>
      <c r="D686" s="3" t="n">
        <v>117</v>
      </c>
    </row>
    <row r="687" customFormat="false" ht="15" hidden="false" customHeight="false" outlineLevel="0" collapsed="false">
      <c r="A687" s="2" t="n">
        <v>46227</v>
      </c>
      <c r="B687" s="3" t="s">
        <v>97</v>
      </c>
      <c r="C687" s="3" t="s">
        <v>101</v>
      </c>
      <c r="D687" s="3" t="n">
        <v>27</v>
      </c>
    </row>
    <row r="688" customFormat="false" ht="15" hidden="false" customHeight="false" outlineLevel="0" collapsed="false">
      <c r="A688" s="2" t="n">
        <v>46227</v>
      </c>
      <c r="B688" s="3" t="s">
        <v>97</v>
      </c>
      <c r="C688" s="3" t="s">
        <v>102</v>
      </c>
      <c r="D688" s="3" t="n">
        <v>2</v>
      </c>
    </row>
    <row r="689" customFormat="false" ht="15" hidden="false" customHeight="false" outlineLevel="0" collapsed="false">
      <c r="A689" s="2" t="n">
        <v>46227</v>
      </c>
      <c r="B689" s="3" t="s">
        <v>103</v>
      </c>
      <c r="C689" s="3" t="s">
        <v>16</v>
      </c>
      <c r="D689" s="3" t="n">
        <v>18</v>
      </c>
    </row>
    <row r="690" customFormat="false" ht="15" hidden="false" customHeight="false" outlineLevel="0" collapsed="false">
      <c r="A690" s="2" t="n">
        <v>46227</v>
      </c>
      <c r="B690" s="3" t="s">
        <v>104</v>
      </c>
      <c r="C690" s="3" t="s">
        <v>16</v>
      </c>
      <c r="D690" s="3" t="n">
        <v>80</v>
      </c>
    </row>
    <row r="691" customFormat="false" ht="15" hidden="false" customHeight="false" outlineLevel="0" collapsed="false">
      <c r="A691" s="2" t="n">
        <v>46227</v>
      </c>
      <c r="B691" s="3" t="s">
        <v>105</v>
      </c>
      <c r="C691" s="3" t="s">
        <v>11</v>
      </c>
      <c r="D691" s="3" t="n">
        <v>2033</v>
      </c>
    </row>
    <row r="692" customFormat="false" ht="15" hidden="false" customHeight="false" outlineLevel="0" collapsed="false">
      <c r="A692" s="2" t="n">
        <v>46227</v>
      </c>
      <c r="B692" s="3" t="s">
        <v>106</v>
      </c>
      <c r="C692" s="3" t="s">
        <v>16</v>
      </c>
      <c r="D692" s="3" t="n">
        <v>312</v>
      </c>
    </row>
    <row r="693" customFormat="false" ht="15" hidden="false" customHeight="false" outlineLevel="0" collapsed="false">
      <c r="A693" s="2" t="n">
        <v>46227</v>
      </c>
      <c r="B693" s="3" t="s">
        <v>107</v>
      </c>
      <c r="C693" s="3" t="s">
        <v>11</v>
      </c>
      <c r="D693" s="3" t="n">
        <v>1</v>
      </c>
    </row>
    <row r="694" customFormat="false" ht="15" hidden="false" customHeight="false" outlineLevel="0" collapsed="false">
      <c r="A694" s="2" t="n">
        <v>46228</v>
      </c>
      <c r="B694" s="3"/>
      <c r="C694" s="3"/>
      <c r="D694" s="3" t="n">
        <v>1</v>
      </c>
    </row>
    <row r="695" customFormat="false" ht="15" hidden="false" customHeight="false" outlineLevel="0" collapsed="false">
      <c r="A695" s="2" t="n">
        <v>46228</v>
      </c>
      <c r="B695" s="3" t="s">
        <v>4</v>
      </c>
      <c r="C695" s="3" t="s">
        <v>8</v>
      </c>
      <c r="D695" s="3" t="n">
        <v>65</v>
      </c>
    </row>
    <row r="696" customFormat="false" ht="15" hidden="false" customHeight="false" outlineLevel="0" collapsed="false">
      <c r="A696" s="2" t="n">
        <v>46228</v>
      </c>
      <c r="B696" s="3" t="s">
        <v>10</v>
      </c>
      <c r="C696" s="3" t="s">
        <v>11</v>
      </c>
      <c r="D696" s="3" t="n">
        <v>3</v>
      </c>
    </row>
    <row r="697" customFormat="false" ht="15" hidden="false" customHeight="false" outlineLevel="0" collapsed="false">
      <c r="A697" s="2" t="n">
        <v>46228</v>
      </c>
      <c r="B697" s="3" t="s">
        <v>12</v>
      </c>
      <c r="C697" s="3" t="s">
        <v>13</v>
      </c>
      <c r="D697" s="3" t="n">
        <v>111368</v>
      </c>
    </row>
    <row r="698" customFormat="false" ht="15" hidden="false" customHeight="false" outlineLevel="0" collapsed="false">
      <c r="A698" s="2" t="n">
        <v>46228</v>
      </c>
      <c r="B698" s="3" t="s">
        <v>12</v>
      </c>
      <c r="C698" s="3" t="s">
        <v>14</v>
      </c>
      <c r="D698" s="3" t="n">
        <v>4</v>
      </c>
    </row>
    <row r="699" customFormat="false" ht="15" hidden="false" customHeight="false" outlineLevel="0" collapsed="false">
      <c r="A699" s="2" t="n">
        <v>46228</v>
      </c>
      <c r="B699" s="3" t="s">
        <v>18</v>
      </c>
      <c r="C699" s="3" t="s">
        <v>11</v>
      </c>
      <c r="D699" s="3" t="n">
        <v>19</v>
      </c>
    </row>
    <row r="700" customFormat="false" ht="15" hidden="false" customHeight="false" outlineLevel="0" collapsed="false">
      <c r="A700" s="2" t="n">
        <v>46228</v>
      </c>
      <c r="B700" s="3" t="s">
        <v>19</v>
      </c>
      <c r="C700" s="3" t="s">
        <v>23</v>
      </c>
      <c r="D700" s="3" t="n">
        <v>24</v>
      </c>
    </row>
    <row r="701" customFormat="false" ht="15" hidden="false" customHeight="false" outlineLevel="0" collapsed="false">
      <c r="A701" s="2" t="n">
        <v>46228</v>
      </c>
      <c r="B701" s="3" t="s">
        <v>19</v>
      </c>
      <c r="C701" s="3" t="s">
        <v>24</v>
      </c>
      <c r="D701" s="3" t="n">
        <v>24</v>
      </c>
    </row>
    <row r="702" customFormat="false" ht="15" hidden="false" customHeight="false" outlineLevel="0" collapsed="false">
      <c r="A702" s="2" t="n">
        <v>46228</v>
      </c>
      <c r="B702" s="3" t="s">
        <v>19</v>
      </c>
      <c r="C702" s="3" t="s">
        <v>20</v>
      </c>
      <c r="D702" s="3" t="n">
        <v>10</v>
      </c>
    </row>
    <row r="703" customFormat="false" ht="15" hidden="false" customHeight="false" outlineLevel="0" collapsed="false">
      <c r="A703" s="2" t="n">
        <v>46228</v>
      </c>
      <c r="B703" s="3" t="s">
        <v>19</v>
      </c>
      <c r="C703" s="3" t="s">
        <v>21</v>
      </c>
      <c r="D703" s="3" t="n">
        <v>20</v>
      </c>
    </row>
    <row r="704" customFormat="false" ht="15" hidden="false" customHeight="false" outlineLevel="0" collapsed="false">
      <c r="A704" s="2" t="n">
        <v>46228</v>
      </c>
      <c r="B704" s="3" t="s">
        <v>25</v>
      </c>
      <c r="C704" s="3" t="s">
        <v>14</v>
      </c>
      <c r="D704" s="3" t="n">
        <v>28</v>
      </c>
    </row>
    <row r="705" customFormat="false" ht="15" hidden="false" customHeight="false" outlineLevel="0" collapsed="false">
      <c r="A705" s="2" t="n">
        <v>46228</v>
      </c>
      <c r="B705" s="3" t="s">
        <v>25</v>
      </c>
      <c r="C705" s="3" t="s">
        <v>26</v>
      </c>
      <c r="D705" s="3" t="n">
        <v>16</v>
      </c>
    </row>
    <row r="706" customFormat="false" ht="15" hidden="false" customHeight="false" outlineLevel="0" collapsed="false">
      <c r="A706" s="2" t="n">
        <v>46228</v>
      </c>
      <c r="B706" s="3" t="s">
        <v>25</v>
      </c>
      <c r="C706" s="3" t="s">
        <v>11</v>
      </c>
      <c r="D706" s="3" t="n">
        <v>358</v>
      </c>
    </row>
    <row r="707" customFormat="false" ht="15" hidden="false" customHeight="false" outlineLevel="0" collapsed="false">
      <c r="A707" s="2" t="n">
        <v>46228</v>
      </c>
      <c r="B707" s="3" t="s">
        <v>27</v>
      </c>
      <c r="C707" s="3" t="s">
        <v>14</v>
      </c>
      <c r="D707" s="3" t="n">
        <v>13</v>
      </c>
    </row>
    <row r="708" customFormat="false" ht="15" hidden="false" customHeight="false" outlineLevel="0" collapsed="false">
      <c r="A708" s="2" t="n">
        <v>46228</v>
      </c>
      <c r="B708" s="3" t="s">
        <v>27</v>
      </c>
      <c r="C708" s="3" t="s">
        <v>28</v>
      </c>
      <c r="D708" s="3" t="n">
        <v>12</v>
      </c>
    </row>
    <row r="709" customFormat="false" ht="15" hidden="false" customHeight="false" outlineLevel="0" collapsed="false">
      <c r="A709" s="2" t="n">
        <v>46228</v>
      </c>
      <c r="B709" s="3" t="s">
        <v>31</v>
      </c>
      <c r="C709" s="3" t="s">
        <v>32</v>
      </c>
      <c r="D709" s="3" t="n">
        <v>84</v>
      </c>
    </row>
    <row r="710" customFormat="false" ht="15" hidden="false" customHeight="false" outlineLevel="0" collapsed="false">
      <c r="A710" s="2" t="n">
        <v>46228</v>
      </c>
      <c r="B710" s="3" t="s">
        <v>31</v>
      </c>
      <c r="C710" s="3" t="s">
        <v>33</v>
      </c>
      <c r="D710" s="3" t="n">
        <v>1235</v>
      </c>
    </row>
    <row r="711" customFormat="false" ht="15" hidden="false" customHeight="false" outlineLevel="0" collapsed="false">
      <c r="A711" s="2" t="n">
        <v>46228</v>
      </c>
      <c r="B711" s="3" t="s">
        <v>31</v>
      </c>
      <c r="C711" s="3" t="s">
        <v>34</v>
      </c>
      <c r="D711" s="3" t="n">
        <v>1151</v>
      </c>
    </row>
    <row r="712" customFormat="false" ht="15" hidden="false" customHeight="false" outlineLevel="0" collapsed="false">
      <c r="A712" s="2" t="n">
        <v>46228</v>
      </c>
      <c r="B712" s="3" t="s">
        <v>31</v>
      </c>
      <c r="C712" s="3" t="s">
        <v>20</v>
      </c>
      <c r="D712" s="3" t="n">
        <v>161</v>
      </c>
    </row>
    <row r="713" customFormat="false" ht="15" hidden="false" customHeight="false" outlineLevel="0" collapsed="false">
      <c r="A713" s="2" t="n">
        <v>46228</v>
      </c>
      <c r="B713" s="3" t="s">
        <v>31</v>
      </c>
      <c r="C713" s="3" t="s">
        <v>22</v>
      </c>
      <c r="D713" s="3" t="n">
        <v>27</v>
      </c>
    </row>
    <row r="714" customFormat="false" ht="15" hidden="false" customHeight="false" outlineLevel="0" collapsed="false">
      <c r="A714" s="2" t="n">
        <v>46228</v>
      </c>
      <c r="B714" s="3" t="s">
        <v>31</v>
      </c>
      <c r="C714" s="3" t="s">
        <v>35</v>
      </c>
      <c r="D714" s="3" t="n">
        <v>8</v>
      </c>
    </row>
    <row r="715" customFormat="false" ht="15" hidden="false" customHeight="false" outlineLevel="0" collapsed="false">
      <c r="A715" s="2" t="n">
        <v>46228</v>
      </c>
      <c r="B715" s="3" t="s">
        <v>36</v>
      </c>
      <c r="C715" s="3" t="s">
        <v>40</v>
      </c>
      <c r="D715" s="3" t="n">
        <v>3</v>
      </c>
    </row>
    <row r="716" customFormat="false" ht="15" hidden="false" customHeight="false" outlineLevel="0" collapsed="false">
      <c r="A716" s="2" t="n">
        <v>46228</v>
      </c>
      <c r="B716" s="3" t="s">
        <v>36</v>
      </c>
      <c r="C716" s="3" t="s">
        <v>11</v>
      </c>
      <c r="D716" s="3" t="n">
        <v>3170</v>
      </c>
    </row>
    <row r="717" customFormat="false" ht="15" hidden="false" customHeight="false" outlineLevel="0" collapsed="false">
      <c r="A717" s="2" t="n">
        <v>46228</v>
      </c>
      <c r="B717" s="3" t="s">
        <v>36</v>
      </c>
      <c r="C717" s="3" t="s">
        <v>37</v>
      </c>
      <c r="D717" s="3" t="n">
        <v>224</v>
      </c>
    </row>
    <row r="718" customFormat="false" ht="15" hidden="false" customHeight="false" outlineLevel="0" collapsed="false">
      <c r="A718" s="2" t="n">
        <v>46228</v>
      </c>
      <c r="B718" s="3" t="s">
        <v>36</v>
      </c>
      <c r="C718" s="3" t="s">
        <v>38</v>
      </c>
      <c r="D718" s="3" t="n">
        <v>224</v>
      </c>
    </row>
    <row r="719" customFormat="false" ht="15" hidden="false" customHeight="false" outlineLevel="0" collapsed="false">
      <c r="A719" s="2" t="n">
        <v>46228</v>
      </c>
      <c r="B719" s="3" t="s">
        <v>36</v>
      </c>
      <c r="C719" s="3" t="s">
        <v>39</v>
      </c>
      <c r="D719" s="3" t="n">
        <v>141</v>
      </c>
    </row>
    <row r="720" customFormat="false" ht="15" hidden="false" customHeight="false" outlineLevel="0" collapsed="false">
      <c r="A720" s="2" t="n">
        <v>46228</v>
      </c>
      <c r="B720" s="3" t="s">
        <v>36</v>
      </c>
      <c r="C720" s="3" t="s">
        <v>14</v>
      </c>
      <c r="D720" s="3" t="n">
        <v>5</v>
      </c>
    </row>
    <row r="721" customFormat="false" ht="15" hidden="false" customHeight="false" outlineLevel="0" collapsed="false">
      <c r="A721" s="2" t="n">
        <v>46228</v>
      </c>
      <c r="B721" s="3" t="s">
        <v>41</v>
      </c>
      <c r="C721" s="3" t="s">
        <v>14</v>
      </c>
      <c r="D721" s="3" t="n">
        <v>5</v>
      </c>
    </row>
    <row r="722" customFormat="false" ht="15" hidden="false" customHeight="false" outlineLevel="0" collapsed="false">
      <c r="A722" s="2" t="n">
        <v>46228</v>
      </c>
      <c r="B722" s="3" t="s">
        <v>41</v>
      </c>
      <c r="C722" s="3" t="s">
        <v>42</v>
      </c>
      <c r="D722" s="3" t="n">
        <v>13</v>
      </c>
    </row>
    <row r="723" customFormat="false" ht="15" hidden="false" customHeight="false" outlineLevel="0" collapsed="false">
      <c r="A723" s="2" t="n">
        <v>46228</v>
      </c>
      <c r="B723" s="3" t="s">
        <v>41</v>
      </c>
      <c r="C723" s="3" t="s">
        <v>11</v>
      </c>
      <c r="D723" s="3" t="n">
        <v>225</v>
      </c>
    </row>
    <row r="724" customFormat="false" ht="15" hidden="false" customHeight="false" outlineLevel="0" collapsed="false">
      <c r="A724" s="2" t="n">
        <v>46228</v>
      </c>
      <c r="B724" s="3" t="s">
        <v>41</v>
      </c>
      <c r="C724" s="3" t="s">
        <v>26</v>
      </c>
      <c r="D724" s="3" t="n">
        <v>3</v>
      </c>
    </row>
    <row r="725" customFormat="false" ht="15" hidden="false" customHeight="false" outlineLevel="0" collapsed="false">
      <c r="A725" s="2" t="n">
        <v>46228</v>
      </c>
      <c r="B725" s="3" t="s">
        <v>41</v>
      </c>
      <c r="C725" s="3" t="s">
        <v>38</v>
      </c>
      <c r="D725" s="3" t="n">
        <v>320</v>
      </c>
    </row>
    <row r="726" customFormat="false" ht="15" hidden="false" customHeight="false" outlineLevel="0" collapsed="false">
      <c r="A726" s="2" t="n">
        <v>46228</v>
      </c>
      <c r="B726" s="3" t="s">
        <v>41</v>
      </c>
      <c r="C726" s="3" t="s">
        <v>39</v>
      </c>
      <c r="D726" s="3" t="n">
        <v>123</v>
      </c>
    </row>
    <row r="727" customFormat="false" ht="15" hidden="false" customHeight="false" outlineLevel="0" collapsed="false">
      <c r="A727" s="2" t="n">
        <v>46228</v>
      </c>
      <c r="B727" s="3" t="s">
        <v>46</v>
      </c>
      <c r="C727" s="3" t="s">
        <v>16</v>
      </c>
      <c r="D727" s="3" t="n">
        <v>3941</v>
      </c>
    </row>
    <row r="728" customFormat="false" ht="15" hidden="false" customHeight="false" outlineLevel="0" collapsed="false">
      <c r="A728" s="2" t="n">
        <v>46228</v>
      </c>
      <c r="B728" s="3" t="s">
        <v>47</v>
      </c>
      <c r="C728" s="3" t="s">
        <v>16</v>
      </c>
      <c r="D728" s="3" t="n">
        <v>7</v>
      </c>
    </row>
    <row r="729" customFormat="false" ht="15" hidden="false" customHeight="false" outlineLevel="0" collapsed="false">
      <c r="A729" s="2" t="n">
        <v>46228</v>
      </c>
      <c r="B729" s="3" t="s">
        <v>48</v>
      </c>
      <c r="C729" s="3" t="s">
        <v>14</v>
      </c>
      <c r="D729" s="3" t="n">
        <v>4</v>
      </c>
    </row>
    <row r="730" customFormat="false" ht="15" hidden="false" customHeight="false" outlineLevel="0" collapsed="false">
      <c r="A730" s="2" t="n">
        <v>46228</v>
      </c>
      <c r="B730" s="3" t="s">
        <v>48</v>
      </c>
      <c r="C730" s="3" t="s">
        <v>38</v>
      </c>
      <c r="D730" s="3" t="n">
        <v>4</v>
      </c>
    </row>
    <row r="731" customFormat="false" ht="15" hidden="false" customHeight="false" outlineLevel="0" collapsed="false">
      <c r="A731" s="2" t="n">
        <v>46228</v>
      </c>
      <c r="B731" s="3" t="s">
        <v>49</v>
      </c>
      <c r="C731" s="3" t="s">
        <v>40</v>
      </c>
      <c r="D731" s="3" t="n">
        <v>13031</v>
      </c>
    </row>
    <row r="732" customFormat="false" ht="15" hidden="false" customHeight="false" outlineLevel="0" collapsed="false">
      <c r="A732" s="2" t="n">
        <v>46228</v>
      </c>
      <c r="B732" s="3" t="s">
        <v>50</v>
      </c>
      <c r="C732" s="3" t="s">
        <v>40</v>
      </c>
      <c r="D732" s="3" t="n">
        <v>12429</v>
      </c>
    </row>
    <row r="733" customFormat="false" ht="15" hidden="false" customHeight="false" outlineLevel="0" collapsed="false">
      <c r="A733" s="2" t="n">
        <v>46228</v>
      </c>
      <c r="B733" s="3" t="s">
        <v>51</v>
      </c>
      <c r="C733" s="3" t="s">
        <v>32</v>
      </c>
      <c r="D733" s="3" t="n">
        <v>1427</v>
      </c>
    </row>
    <row r="734" customFormat="false" ht="15" hidden="false" customHeight="false" outlineLevel="0" collapsed="false">
      <c r="A734" s="2" t="n">
        <v>46228</v>
      </c>
      <c r="B734" s="3" t="s">
        <v>51</v>
      </c>
      <c r="C734" s="3" t="s">
        <v>33</v>
      </c>
      <c r="D734" s="3" t="n">
        <v>4757</v>
      </c>
    </row>
    <row r="735" customFormat="false" ht="15" hidden="false" customHeight="false" outlineLevel="0" collapsed="false">
      <c r="A735" s="2" t="n">
        <v>46228</v>
      </c>
      <c r="B735" s="3" t="s">
        <v>51</v>
      </c>
      <c r="C735" s="3" t="s">
        <v>34</v>
      </c>
      <c r="D735" s="3" t="n">
        <v>3337</v>
      </c>
    </row>
    <row r="736" customFormat="false" ht="15" hidden="false" customHeight="false" outlineLevel="0" collapsed="false">
      <c r="A736" s="2" t="n">
        <v>46228</v>
      </c>
      <c r="B736" s="3" t="s">
        <v>51</v>
      </c>
      <c r="C736" s="3" t="s">
        <v>20</v>
      </c>
      <c r="D736" s="3" t="n">
        <v>4767</v>
      </c>
    </row>
    <row r="737" customFormat="false" ht="15" hidden="false" customHeight="false" outlineLevel="0" collapsed="false">
      <c r="A737" s="2" t="n">
        <v>46228</v>
      </c>
      <c r="B737" s="3" t="s">
        <v>51</v>
      </c>
      <c r="C737" s="3" t="s">
        <v>22</v>
      </c>
      <c r="D737" s="3" t="n">
        <v>2437</v>
      </c>
    </row>
    <row r="738" customFormat="false" ht="15" hidden="false" customHeight="false" outlineLevel="0" collapsed="false">
      <c r="A738" s="2" t="n">
        <v>46228</v>
      </c>
      <c r="B738" s="3" t="s">
        <v>52</v>
      </c>
      <c r="C738" s="3" t="s">
        <v>11</v>
      </c>
      <c r="D738" s="3" t="n">
        <v>10997</v>
      </c>
    </row>
    <row r="739" customFormat="false" ht="15" hidden="false" customHeight="false" outlineLevel="0" collapsed="false">
      <c r="A739" s="2" t="n">
        <v>46228</v>
      </c>
      <c r="B739" s="3" t="s">
        <v>53</v>
      </c>
      <c r="C739" s="3" t="s">
        <v>39</v>
      </c>
      <c r="D739" s="3" t="n">
        <v>579</v>
      </c>
    </row>
    <row r="740" customFormat="false" ht="15" hidden="false" customHeight="false" outlineLevel="0" collapsed="false">
      <c r="A740" s="2" t="n">
        <v>46228</v>
      </c>
      <c r="B740" s="3" t="s">
        <v>53</v>
      </c>
      <c r="C740" s="3" t="s">
        <v>14</v>
      </c>
      <c r="D740" s="3" t="n">
        <v>2</v>
      </c>
    </row>
    <row r="741" customFormat="false" ht="15" hidden="false" customHeight="false" outlineLevel="0" collapsed="false">
      <c r="A741" s="2" t="n">
        <v>46228</v>
      </c>
      <c r="B741" s="3" t="s">
        <v>54</v>
      </c>
      <c r="C741" s="3" t="s">
        <v>14</v>
      </c>
      <c r="D741" s="3" t="n">
        <v>3</v>
      </c>
    </row>
    <row r="742" customFormat="false" ht="15" hidden="false" customHeight="false" outlineLevel="0" collapsed="false">
      <c r="A742" s="2" t="n">
        <v>46228</v>
      </c>
      <c r="B742" s="3" t="s">
        <v>54</v>
      </c>
      <c r="C742" s="3" t="s">
        <v>38</v>
      </c>
      <c r="D742" s="3" t="n">
        <v>3861</v>
      </c>
    </row>
    <row r="743" customFormat="false" ht="15" hidden="false" customHeight="false" outlineLevel="0" collapsed="false">
      <c r="A743" s="2" t="n">
        <v>46228</v>
      </c>
      <c r="B743" s="3" t="s">
        <v>54</v>
      </c>
      <c r="C743" s="3" t="s">
        <v>39</v>
      </c>
      <c r="D743" s="3" t="n">
        <v>4978</v>
      </c>
    </row>
    <row r="744" customFormat="false" ht="15" hidden="false" customHeight="false" outlineLevel="0" collapsed="false">
      <c r="A744" s="2" t="n">
        <v>46228</v>
      </c>
      <c r="B744" s="3" t="s">
        <v>55</v>
      </c>
      <c r="C744" s="3" t="s">
        <v>40</v>
      </c>
      <c r="D744" s="3" t="n">
        <v>1062</v>
      </c>
    </row>
    <row r="745" customFormat="false" ht="15" hidden="false" customHeight="false" outlineLevel="0" collapsed="false">
      <c r="A745" s="2" t="n">
        <v>46228</v>
      </c>
      <c r="B745" s="3" t="s">
        <v>56</v>
      </c>
      <c r="C745" s="3" t="s">
        <v>39</v>
      </c>
      <c r="D745" s="3" t="n">
        <v>1148</v>
      </c>
    </row>
    <row r="746" customFormat="false" ht="15" hidden="false" customHeight="false" outlineLevel="0" collapsed="false">
      <c r="A746" s="2" t="n">
        <v>46228</v>
      </c>
      <c r="B746" s="3" t="s">
        <v>56</v>
      </c>
      <c r="C746" s="3" t="s">
        <v>14</v>
      </c>
      <c r="D746" s="3" t="n">
        <v>2</v>
      </c>
    </row>
    <row r="747" customFormat="false" ht="15" hidden="false" customHeight="false" outlineLevel="0" collapsed="false">
      <c r="A747" s="2" t="n">
        <v>46228</v>
      </c>
      <c r="B747" s="3" t="s">
        <v>57</v>
      </c>
      <c r="C747" s="3" t="s">
        <v>14</v>
      </c>
      <c r="D747" s="3" t="n">
        <v>3</v>
      </c>
    </row>
    <row r="748" customFormat="false" ht="15" hidden="false" customHeight="false" outlineLevel="0" collapsed="false">
      <c r="A748" s="2" t="n">
        <v>46228</v>
      </c>
      <c r="B748" s="3" t="s">
        <v>57</v>
      </c>
      <c r="C748" s="3" t="s">
        <v>38</v>
      </c>
      <c r="D748" s="3" t="n">
        <v>90</v>
      </c>
    </row>
    <row r="749" customFormat="false" ht="15" hidden="false" customHeight="false" outlineLevel="0" collapsed="false">
      <c r="A749" s="2" t="n">
        <v>46228</v>
      </c>
      <c r="B749" s="3" t="s">
        <v>57</v>
      </c>
      <c r="C749" s="3" t="s">
        <v>39</v>
      </c>
      <c r="D749" s="3" t="n">
        <v>4</v>
      </c>
    </row>
    <row r="750" customFormat="false" ht="15" hidden="false" customHeight="false" outlineLevel="0" collapsed="false">
      <c r="A750" s="2" t="n">
        <v>46228</v>
      </c>
      <c r="B750" s="3" t="s">
        <v>58</v>
      </c>
      <c r="C750" s="3" t="s">
        <v>39</v>
      </c>
      <c r="D750" s="3" t="n">
        <v>67</v>
      </c>
    </row>
    <row r="751" customFormat="false" ht="15" hidden="false" customHeight="false" outlineLevel="0" collapsed="false">
      <c r="A751" s="2" t="n">
        <v>46228</v>
      </c>
      <c r="B751" s="3" t="s">
        <v>58</v>
      </c>
      <c r="C751" s="3" t="s">
        <v>14</v>
      </c>
      <c r="D751" s="3" t="n">
        <v>2</v>
      </c>
    </row>
    <row r="752" customFormat="false" ht="15" hidden="false" customHeight="false" outlineLevel="0" collapsed="false">
      <c r="A752" s="2" t="n">
        <v>46228</v>
      </c>
      <c r="B752" s="3" t="s">
        <v>59</v>
      </c>
      <c r="C752" s="3" t="s">
        <v>14</v>
      </c>
      <c r="D752" s="3" t="n">
        <v>2</v>
      </c>
    </row>
    <row r="753" customFormat="false" ht="15" hidden="false" customHeight="false" outlineLevel="0" collapsed="false">
      <c r="A753" s="2" t="n">
        <v>46228</v>
      </c>
      <c r="B753" s="3" t="s">
        <v>59</v>
      </c>
      <c r="C753" s="3" t="s">
        <v>39</v>
      </c>
      <c r="D753" s="3" t="n">
        <v>3</v>
      </c>
    </row>
    <row r="754" customFormat="false" ht="15" hidden="false" customHeight="false" outlineLevel="0" collapsed="false">
      <c r="A754" s="2" t="n">
        <v>46228</v>
      </c>
      <c r="B754" s="3" t="s">
        <v>60</v>
      </c>
      <c r="C754" s="3" t="s">
        <v>38</v>
      </c>
      <c r="D754" s="3" t="n">
        <v>599</v>
      </c>
    </row>
    <row r="755" customFormat="false" ht="15" hidden="false" customHeight="false" outlineLevel="0" collapsed="false">
      <c r="A755" s="2" t="n">
        <v>46228</v>
      </c>
      <c r="B755" s="3" t="s">
        <v>60</v>
      </c>
      <c r="C755" s="3" t="s">
        <v>39</v>
      </c>
      <c r="D755" s="3" t="n">
        <v>1212</v>
      </c>
    </row>
    <row r="756" customFormat="false" ht="15" hidden="false" customHeight="false" outlineLevel="0" collapsed="false">
      <c r="A756" s="2" t="n">
        <v>46228</v>
      </c>
      <c r="B756" s="3" t="s">
        <v>60</v>
      </c>
      <c r="C756" s="3" t="s">
        <v>14</v>
      </c>
      <c r="D756" s="3" t="n">
        <v>3</v>
      </c>
    </row>
    <row r="757" customFormat="false" ht="15" hidden="false" customHeight="false" outlineLevel="0" collapsed="false">
      <c r="A757" s="2" t="n">
        <v>46228</v>
      </c>
      <c r="B757" s="3" t="s">
        <v>61</v>
      </c>
      <c r="C757" s="3" t="s">
        <v>14</v>
      </c>
      <c r="D757" s="3" t="n">
        <v>3</v>
      </c>
    </row>
    <row r="758" customFormat="false" ht="15" hidden="false" customHeight="false" outlineLevel="0" collapsed="false">
      <c r="A758" s="2" t="n">
        <v>46228</v>
      </c>
      <c r="B758" s="3" t="s">
        <v>61</v>
      </c>
      <c r="C758" s="3" t="s">
        <v>38</v>
      </c>
      <c r="D758" s="3" t="n">
        <v>35</v>
      </c>
    </row>
    <row r="759" customFormat="false" ht="15" hidden="false" customHeight="false" outlineLevel="0" collapsed="false">
      <c r="A759" s="2" t="n">
        <v>46228</v>
      </c>
      <c r="B759" s="3" t="s">
        <v>61</v>
      </c>
      <c r="C759" s="3" t="s">
        <v>39</v>
      </c>
      <c r="D759" s="3" t="n">
        <v>88</v>
      </c>
    </row>
    <row r="760" customFormat="false" ht="15" hidden="false" customHeight="false" outlineLevel="0" collapsed="false">
      <c r="A760" s="2" t="n">
        <v>46228</v>
      </c>
      <c r="B760" s="3" t="s">
        <v>62</v>
      </c>
      <c r="C760" s="3" t="s">
        <v>38</v>
      </c>
      <c r="D760" s="3" t="n">
        <v>2530</v>
      </c>
    </row>
    <row r="761" customFormat="false" ht="15" hidden="false" customHeight="false" outlineLevel="0" collapsed="false">
      <c r="A761" s="2" t="n">
        <v>46228</v>
      </c>
      <c r="B761" s="3" t="s">
        <v>62</v>
      </c>
      <c r="C761" s="3" t="s">
        <v>39</v>
      </c>
      <c r="D761" s="3" t="n">
        <v>246</v>
      </c>
    </row>
    <row r="762" customFormat="false" ht="15" hidden="false" customHeight="false" outlineLevel="0" collapsed="false">
      <c r="A762" s="2" t="n">
        <v>46228</v>
      </c>
      <c r="B762" s="3" t="s">
        <v>62</v>
      </c>
      <c r="C762" s="3" t="s">
        <v>14</v>
      </c>
      <c r="D762" s="3" t="n">
        <v>1</v>
      </c>
    </row>
    <row r="763" customFormat="false" ht="15" hidden="false" customHeight="false" outlineLevel="0" collapsed="false">
      <c r="A763" s="2" t="n">
        <v>46228</v>
      </c>
      <c r="B763" s="3" t="s">
        <v>63</v>
      </c>
      <c r="C763" s="3" t="s">
        <v>40</v>
      </c>
      <c r="D763" s="3" t="n">
        <v>2028</v>
      </c>
    </row>
    <row r="764" customFormat="false" ht="15" hidden="false" customHeight="false" outlineLevel="0" collapsed="false">
      <c r="A764" s="2" t="n">
        <v>46228</v>
      </c>
      <c r="B764" s="3" t="s">
        <v>64</v>
      </c>
      <c r="C764" s="3" t="s">
        <v>40</v>
      </c>
      <c r="D764" s="3" t="n">
        <v>1</v>
      </c>
    </row>
    <row r="765" customFormat="false" ht="15" hidden="false" customHeight="false" outlineLevel="0" collapsed="false">
      <c r="A765" s="2" t="n">
        <v>46228</v>
      </c>
      <c r="B765" s="3" t="s">
        <v>65</v>
      </c>
      <c r="C765" s="3" t="s">
        <v>40</v>
      </c>
      <c r="D765" s="3" t="n">
        <v>4</v>
      </c>
    </row>
    <row r="766" customFormat="false" ht="15" hidden="false" customHeight="false" outlineLevel="0" collapsed="false">
      <c r="A766" s="2" t="n">
        <v>46228</v>
      </c>
      <c r="B766" s="3" t="s">
        <v>67</v>
      </c>
      <c r="C766" s="3" t="s">
        <v>20</v>
      </c>
      <c r="D766" s="3" t="n">
        <v>1280</v>
      </c>
    </row>
    <row r="767" customFormat="false" ht="15" hidden="false" customHeight="false" outlineLevel="0" collapsed="false">
      <c r="A767" s="2" t="n">
        <v>46228</v>
      </c>
      <c r="B767" s="3" t="s">
        <v>67</v>
      </c>
      <c r="C767" s="3" t="s">
        <v>32</v>
      </c>
      <c r="D767" s="3" t="n">
        <v>685</v>
      </c>
    </row>
    <row r="768" customFormat="false" ht="15" hidden="false" customHeight="false" outlineLevel="0" collapsed="false">
      <c r="A768" s="2" t="n">
        <v>46228</v>
      </c>
      <c r="B768" s="3" t="s">
        <v>67</v>
      </c>
      <c r="C768" s="3" t="s">
        <v>33</v>
      </c>
      <c r="D768" s="3" t="n">
        <v>7725</v>
      </c>
    </row>
    <row r="769" customFormat="false" ht="15" hidden="false" customHeight="false" outlineLevel="0" collapsed="false">
      <c r="A769" s="2" t="n">
        <v>46228</v>
      </c>
      <c r="B769" s="3" t="s">
        <v>67</v>
      </c>
      <c r="C769" s="3" t="s">
        <v>34</v>
      </c>
      <c r="D769" s="3" t="n">
        <v>7040</v>
      </c>
    </row>
    <row r="770" customFormat="false" ht="15" hidden="false" customHeight="false" outlineLevel="0" collapsed="false">
      <c r="A770" s="2" t="n">
        <v>46228</v>
      </c>
      <c r="B770" s="3" t="s">
        <v>68</v>
      </c>
      <c r="C770" s="3" t="s">
        <v>11</v>
      </c>
      <c r="D770" s="3" t="n">
        <v>61</v>
      </c>
    </row>
    <row r="771" customFormat="false" ht="15" hidden="false" customHeight="false" outlineLevel="0" collapsed="false">
      <c r="A771" s="2" t="n">
        <v>46228</v>
      </c>
      <c r="B771" s="3" t="s">
        <v>69</v>
      </c>
      <c r="C771" s="3" t="s">
        <v>11</v>
      </c>
      <c r="D771" s="3" t="n">
        <v>19108</v>
      </c>
    </row>
    <row r="772" customFormat="false" ht="15" hidden="false" customHeight="false" outlineLevel="0" collapsed="false">
      <c r="A772" s="2" t="n">
        <v>46228</v>
      </c>
      <c r="B772" s="3" t="s">
        <v>71</v>
      </c>
      <c r="C772" s="3" t="s">
        <v>14</v>
      </c>
      <c r="D772" s="3" t="n">
        <v>8617</v>
      </c>
    </row>
    <row r="773" customFormat="false" ht="15" hidden="false" customHeight="false" outlineLevel="0" collapsed="false">
      <c r="A773" s="2" t="n">
        <v>46228</v>
      </c>
      <c r="B773" s="3" t="s">
        <v>71</v>
      </c>
      <c r="C773" s="3" t="s">
        <v>37</v>
      </c>
      <c r="D773" s="3" t="n">
        <v>1</v>
      </c>
    </row>
    <row r="774" customFormat="false" ht="15" hidden="false" customHeight="false" outlineLevel="0" collapsed="false">
      <c r="A774" s="2" t="n">
        <v>46228</v>
      </c>
      <c r="B774" s="3" t="s">
        <v>71</v>
      </c>
      <c r="C774" s="3" t="s">
        <v>38</v>
      </c>
      <c r="D774" s="3" t="n">
        <v>8600</v>
      </c>
    </row>
    <row r="775" customFormat="false" ht="15" hidden="false" customHeight="false" outlineLevel="0" collapsed="false">
      <c r="A775" s="2" t="n">
        <v>46228</v>
      </c>
      <c r="B775" s="3" t="s">
        <v>71</v>
      </c>
      <c r="C775" s="3" t="s">
        <v>39</v>
      </c>
      <c r="D775" s="3" t="n">
        <v>2023</v>
      </c>
    </row>
    <row r="776" customFormat="false" ht="15" hidden="false" customHeight="false" outlineLevel="0" collapsed="false">
      <c r="A776" s="2" t="n">
        <v>46228</v>
      </c>
      <c r="B776" s="3" t="s">
        <v>72</v>
      </c>
      <c r="C776" s="3" t="s">
        <v>40</v>
      </c>
      <c r="D776" s="3" t="n">
        <v>327</v>
      </c>
    </row>
    <row r="777" customFormat="false" ht="15" hidden="false" customHeight="false" outlineLevel="0" collapsed="false">
      <c r="A777" s="2" t="n">
        <v>46228</v>
      </c>
      <c r="B777" s="3" t="s">
        <v>74</v>
      </c>
      <c r="C777" s="3" t="s">
        <v>16</v>
      </c>
      <c r="D777" s="3" t="n">
        <v>2</v>
      </c>
    </row>
    <row r="778" customFormat="false" ht="15" hidden="false" customHeight="false" outlineLevel="0" collapsed="false">
      <c r="A778" s="2" t="n">
        <v>46228</v>
      </c>
      <c r="B778" s="3" t="s">
        <v>75</v>
      </c>
      <c r="C778" s="3" t="s">
        <v>11</v>
      </c>
      <c r="D778" s="3" t="n">
        <v>98</v>
      </c>
    </row>
    <row r="779" customFormat="false" ht="15" hidden="false" customHeight="false" outlineLevel="0" collapsed="false">
      <c r="A779" s="2" t="n">
        <v>46228</v>
      </c>
      <c r="B779" s="3" t="s">
        <v>76</v>
      </c>
      <c r="C779" s="3" t="s">
        <v>11</v>
      </c>
      <c r="D779" s="3" t="n">
        <v>166</v>
      </c>
    </row>
    <row r="780" customFormat="false" ht="15" hidden="false" customHeight="false" outlineLevel="0" collapsed="false">
      <c r="A780" s="2" t="n">
        <v>46228</v>
      </c>
      <c r="B780" s="3" t="s">
        <v>77</v>
      </c>
      <c r="C780" s="3" t="s">
        <v>23</v>
      </c>
      <c r="D780" s="3" t="n">
        <v>2</v>
      </c>
    </row>
    <row r="781" customFormat="false" ht="15" hidden="false" customHeight="false" outlineLevel="0" collapsed="false">
      <c r="A781" s="2" t="n">
        <v>46228</v>
      </c>
      <c r="B781" s="3" t="s">
        <v>77</v>
      </c>
      <c r="C781" s="3" t="s">
        <v>78</v>
      </c>
      <c r="D781" s="3" t="n">
        <v>42</v>
      </c>
    </row>
    <row r="782" customFormat="false" ht="15" hidden="false" customHeight="false" outlineLevel="0" collapsed="false">
      <c r="A782" s="2" t="n">
        <v>46228</v>
      </c>
      <c r="B782" s="3" t="s">
        <v>77</v>
      </c>
      <c r="C782" s="3" t="s">
        <v>21</v>
      </c>
      <c r="D782" s="3" t="n">
        <v>2</v>
      </c>
    </row>
    <row r="783" customFormat="false" ht="15" hidden="false" customHeight="false" outlineLevel="0" collapsed="false">
      <c r="A783" s="2" t="n">
        <v>46228</v>
      </c>
      <c r="B783" s="3" t="s">
        <v>79</v>
      </c>
      <c r="C783" s="3" t="s">
        <v>14</v>
      </c>
      <c r="D783" s="3" t="n">
        <v>1</v>
      </c>
    </row>
    <row r="784" customFormat="false" ht="15" hidden="false" customHeight="false" outlineLevel="0" collapsed="false">
      <c r="A784" s="2" t="n">
        <v>46228</v>
      </c>
      <c r="B784" s="3" t="s">
        <v>80</v>
      </c>
      <c r="C784" s="3" t="s">
        <v>14</v>
      </c>
      <c r="D784" s="3" t="n">
        <v>6</v>
      </c>
    </row>
    <row r="785" customFormat="false" ht="15" hidden="false" customHeight="false" outlineLevel="0" collapsed="false">
      <c r="A785" s="2" t="n">
        <v>46228</v>
      </c>
      <c r="B785" s="3" t="s">
        <v>80</v>
      </c>
      <c r="C785" s="3" t="s">
        <v>40</v>
      </c>
      <c r="D785" s="3" t="n">
        <v>44</v>
      </c>
    </row>
    <row r="786" customFormat="false" ht="15" hidden="false" customHeight="false" outlineLevel="0" collapsed="false">
      <c r="A786" s="2" t="n">
        <v>46228</v>
      </c>
      <c r="B786" s="3" t="s">
        <v>81</v>
      </c>
      <c r="C786" s="3" t="s">
        <v>40</v>
      </c>
      <c r="D786" s="3" t="n">
        <v>45</v>
      </c>
    </row>
    <row r="787" customFormat="false" ht="15" hidden="false" customHeight="false" outlineLevel="0" collapsed="false">
      <c r="A787" s="2" t="n">
        <v>46228</v>
      </c>
      <c r="B787" s="3" t="s">
        <v>82</v>
      </c>
      <c r="C787" s="3" t="s">
        <v>16</v>
      </c>
      <c r="D787" s="3" t="n">
        <v>1</v>
      </c>
    </row>
    <row r="788" customFormat="false" ht="15" hidden="false" customHeight="false" outlineLevel="0" collapsed="false">
      <c r="A788" s="2" t="n">
        <v>46228</v>
      </c>
      <c r="B788" s="3" t="s">
        <v>83</v>
      </c>
      <c r="C788" s="3" t="s">
        <v>16</v>
      </c>
      <c r="D788" s="3" t="n">
        <v>4</v>
      </c>
    </row>
    <row r="789" customFormat="false" ht="15" hidden="false" customHeight="false" outlineLevel="0" collapsed="false">
      <c r="A789" s="2" t="n">
        <v>46228</v>
      </c>
      <c r="B789" s="3" t="s">
        <v>84</v>
      </c>
      <c r="C789" s="3" t="s">
        <v>11</v>
      </c>
      <c r="D789" s="3" t="n">
        <v>2364</v>
      </c>
    </row>
    <row r="790" customFormat="false" ht="15" hidden="false" customHeight="false" outlineLevel="0" collapsed="false">
      <c r="A790" s="2" t="n">
        <v>46228</v>
      </c>
      <c r="B790" s="3" t="s">
        <v>92</v>
      </c>
      <c r="C790" s="3" t="s">
        <v>40</v>
      </c>
      <c r="D790" s="3" t="n">
        <v>2</v>
      </c>
    </row>
    <row r="791" customFormat="false" ht="15" hidden="false" customHeight="false" outlineLevel="0" collapsed="false">
      <c r="A791" s="2" t="n">
        <v>46228</v>
      </c>
      <c r="B791" s="3" t="s">
        <v>92</v>
      </c>
      <c r="C791" s="3" t="s">
        <v>11</v>
      </c>
      <c r="D791" s="3" t="n">
        <v>1</v>
      </c>
    </row>
    <row r="792" customFormat="false" ht="15" hidden="false" customHeight="false" outlineLevel="0" collapsed="false">
      <c r="A792" s="2" t="n">
        <v>46228</v>
      </c>
      <c r="B792" s="3" t="s">
        <v>93</v>
      </c>
      <c r="C792" s="3" t="s">
        <v>9</v>
      </c>
      <c r="D792" s="3" t="n">
        <v>9</v>
      </c>
    </row>
    <row r="793" customFormat="false" ht="15" hidden="false" customHeight="false" outlineLevel="0" collapsed="false">
      <c r="A793" s="2" t="n">
        <v>46228</v>
      </c>
      <c r="B793" s="3" t="s">
        <v>95</v>
      </c>
      <c r="C793" s="3" t="s">
        <v>11</v>
      </c>
      <c r="D793" s="3" t="n">
        <v>3</v>
      </c>
    </row>
    <row r="794" customFormat="false" ht="15" hidden="false" customHeight="false" outlineLevel="0" collapsed="false">
      <c r="A794" s="2" t="n">
        <v>46228</v>
      </c>
      <c r="B794" s="3" t="s">
        <v>96</v>
      </c>
      <c r="C794" s="3" t="s">
        <v>40</v>
      </c>
      <c r="D794" s="3" t="n">
        <v>20</v>
      </c>
    </row>
    <row r="795" customFormat="false" ht="15" hidden="false" customHeight="false" outlineLevel="0" collapsed="false">
      <c r="A795" s="2" t="n">
        <v>46228</v>
      </c>
      <c r="B795" s="3" t="s">
        <v>97</v>
      </c>
      <c r="C795" s="3" t="s">
        <v>98</v>
      </c>
      <c r="D795" s="3" t="n">
        <v>10</v>
      </c>
    </row>
    <row r="796" customFormat="false" ht="15" hidden="false" customHeight="false" outlineLevel="0" collapsed="false">
      <c r="A796" s="2" t="n">
        <v>46228</v>
      </c>
      <c r="B796" s="3" t="s">
        <v>97</v>
      </c>
      <c r="C796" s="3" t="s">
        <v>99</v>
      </c>
      <c r="D796" s="3" t="n">
        <v>9</v>
      </c>
    </row>
    <row r="797" customFormat="false" ht="15" hidden="false" customHeight="false" outlineLevel="0" collapsed="false">
      <c r="A797" s="2" t="n">
        <v>46228</v>
      </c>
      <c r="B797" s="3" t="s">
        <v>97</v>
      </c>
      <c r="C797" s="3" t="s">
        <v>100</v>
      </c>
      <c r="D797" s="3" t="n">
        <v>11</v>
      </c>
    </row>
    <row r="798" customFormat="false" ht="15" hidden="false" customHeight="false" outlineLevel="0" collapsed="false">
      <c r="A798" s="2" t="n">
        <v>46228</v>
      </c>
      <c r="B798" s="3" t="s">
        <v>104</v>
      </c>
      <c r="C798" s="3" t="s">
        <v>16</v>
      </c>
      <c r="D798" s="3" t="n">
        <v>1</v>
      </c>
    </row>
    <row r="799" customFormat="false" ht="15" hidden="false" customHeight="false" outlineLevel="0" collapsed="false">
      <c r="A799" s="2" t="n">
        <v>46228</v>
      </c>
      <c r="B799" s="3" t="s">
        <v>106</v>
      </c>
      <c r="C799" s="3" t="s">
        <v>16</v>
      </c>
      <c r="D799" s="3" t="n">
        <v>15</v>
      </c>
    </row>
    <row r="800" customFormat="false" ht="15" hidden="false" customHeight="false" outlineLevel="0" collapsed="false">
      <c r="A800" s="2" t="n">
        <v>46229</v>
      </c>
      <c r="B800" s="3"/>
      <c r="C800" s="3"/>
      <c r="D800" s="3" t="n">
        <v>1</v>
      </c>
    </row>
    <row r="801" customFormat="false" ht="15" hidden="false" customHeight="false" outlineLevel="0" collapsed="false">
      <c r="A801" s="2" t="n">
        <v>46229</v>
      </c>
      <c r="B801" s="3"/>
      <c r="C801" s="3" t="s">
        <v>16</v>
      </c>
      <c r="D801" s="3" t="n">
        <v>1</v>
      </c>
    </row>
    <row r="802" customFormat="false" ht="15" hidden="false" customHeight="false" outlineLevel="0" collapsed="false">
      <c r="A802" s="2" t="n">
        <v>46229</v>
      </c>
      <c r="B802" s="3" t="s">
        <v>4</v>
      </c>
      <c r="C802" s="3" t="s">
        <v>8</v>
      </c>
      <c r="D802" s="3" t="n">
        <v>102</v>
      </c>
    </row>
    <row r="803" customFormat="false" ht="15" hidden="false" customHeight="false" outlineLevel="0" collapsed="false">
      <c r="A803" s="2" t="n">
        <v>46229</v>
      </c>
      <c r="B803" s="3" t="s">
        <v>112</v>
      </c>
      <c r="C803" s="3" t="s">
        <v>23</v>
      </c>
      <c r="D803" s="3" t="n">
        <v>6</v>
      </c>
    </row>
    <row r="804" customFormat="false" ht="15" hidden="false" customHeight="false" outlineLevel="0" collapsed="false">
      <c r="A804" s="2" t="n">
        <v>46229</v>
      </c>
      <c r="B804" s="3" t="s">
        <v>10</v>
      </c>
      <c r="C804" s="3" t="s">
        <v>14</v>
      </c>
      <c r="D804" s="3" t="n">
        <v>6</v>
      </c>
    </row>
    <row r="805" customFormat="false" ht="15" hidden="false" customHeight="false" outlineLevel="0" collapsed="false">
      <c r="A805" s="2" t="n">
        <v>46229</v>
      </c>
      <c r="B805" s="3" t="s">
        <v>10</v>
      </c>
      <c r="C805" s="3" t="s">
        <v>26</v>
      </c>
      <c r="D805" s="3" t="n">
        <v>2</v>
      </c>
    </row>
    <row r="806" customFormat="false" ht="15" hidden="false" customHeight="false" outlineLevel="0" collapsed="false">
      <c r="A806" s="2" t="n">
        <v>46229</v>
      </c>
      <c r="B806" s="3" t="s">
        <v>10</v>
      </c>
      <c r="C806" s="3" t="s">
        <v>28</v>
      </c>
      <c r="D806" s="3" t="n">
        <v>1</v>
      </c>
    </row>
    <row r="807" customFormat="false" ht="15" hidden="false" customHeight="false" outlineLevel="0" collapsed="false">
      <c r="A807" s="2" t="n">
        <v>46229</v>
      </c>
      <c r="B807" s="3" t="s">
        <v>10</v>
      </c>
      <c r="C807" s="3" t="s">
        <v>11</v>
      </c>
      <c r="D807" s="3" t="n">
        <v>5</v>
      </c>
    </row>
    <row r="808" customFormat="false" ht="15" hidden="false" customHeight="false" outlineLevel="0" collapsed="false">
      <c r="A808" s="2" t="n">
        <v>46229</v>
      </c>
      <c r="B808" s="3" t="s">
        <v>12</v>
      </c>
      <c r="C808" s="3" t="s">
        <v>13</v>
      </c>
      <c r="D808" s="3" t="n">
        <v>103866</v>
      </c>
    </row>
    <row r="809" customFormat="false" ht="15" hidden="false" customHeight="false" outlineLevel="0" collapsed="false">
      <c r="A809" s="2" t="n">
        <v>46229</v>
      </c>
      <c r="B809" s="3" t="s">
        <v>12</v>
      </c>
      <c r="C809" s="3" t="s">
        <v>14</v>
      </c>
      <c r="D809" s="3" t="n">
        <v>4</v>
      </c>
    </row>
    <row r="810" customFormat="false" ht="15" hidden="false" customHeight="false" outlineLevel="0" collapsed="false">
      <c r="A810" s="2" t="n">
        <v>46229</v>
      </c>
      <c r="B810" s="3" t="s">
        <v>17</v>
      </c>
      <c r="C810" s="3" t="s">
        <v>16</v>
      </c>
      <c r="D810" s="3" t="n">
        <v>2</v>
      </c>
    </row>
    <row r="811" customFormat="false" ht="15" hidden="false" customHeight="false" outlineLevel="0" collapsed="false">
      <c r="A811" s="2" t="n">
        <v>46229</v>
      </c>
      <c r="B811" s="3" t="s">
        <v>18</v>
      </c>
      <c r="C811" s="3" t="s">
        <v>11</v>
      </c>
      <c r="D811" s="3" t="n">
        <v>8</v>
      </c>
    </row>
    <row r="812" customFormat="false" ht="15" hidden="false" customHeight="false" outlineLevel="0" collapsed="false">
      <c r="A812" s="2" t="n">
        <v>46229</v>
      </c>
      <c r="B812" s="3" t="s">
        <v>19</v>
      </c>
      <c r="C812" s="3" t="s">
        <v>23</v>
      </c>
      <c r="D812" s="3" t="n">
        <v>26</v>
      </c>
    </row>
    <row r="813" customFormat="false" ht="15" hidden="false" customHeight="false" outlineLevel="0" collapsed="false">
      <c r="A813" s="2" t="n">
        <v>46229</v>
      </c>
      <c r="B813" s="3" t="s">
        <v>19</v>
      </c>
      <c r="C813" s="3" t="s">
        <v>24</v>
      </c>
      <c r="D813" s="3" t="n">
        <v>20</v>
      </c>
    </row>
    <row r="814" customFormat="false" ht="15" hidden="false" customHeight="false" outlineLevel="0" collapsed="false">
      <c r="A814" s="2" t="n">
        <v>46229</v>
      </c>
      <c r="B814" s="3" t="s">
        <v>19</v>
      </c>
      <c r="C814" s="3" t="s">
        <v>20</v>
      </c>
      <c r="D814" s="3" t="n">
        <v>8</v>
      </c>
    </row>
    <row r="815" customFormat="false" ht="15" hidden="false" customHeight="false" outlineLevel="0" collapsed="false">
      <c r="A815" s="2" t="n">
        <v>46229</v>
      </c>
      <c r="B815" s="3" t="s">
        <v>19</v>
      </c>
      <c r="C815" s="3" t="s">
        <v>21</v>
      </c>
      <c r="D815" s="3" t="n">
        <v>13</v>
      </c>
    </row>
    <row r="816" customFormat="false" ht="15" hidden="false" customHeight="false" outlineLevel="0" collapsed="false">
      <c r="A816" s="2" t="n">
        <v>46229</v>
      </c>
      <c r="B816" s="3" t="s">
        <v>25</v>
      </c>
      <c r="C816" s="3" t="s">
        <v>11</v>
      </c>
      <c r="D816" s="3" t="n">
        <v>291</v>
      </c>
    </row>
    <row r="817" customFormat="false" ht="15" hidden="false" customHeight="false" outlineLevel="0" collapsed="false">
      <c r="A817" s="2" t="n">
        <v>46229</v>
      </c>
      <c r="B817" s="3" t="s">
        <v>25</v>
      </c>
      <c r="C817" s="3" t="s">
        <v>14</v>
      </c>
      <c r="D817" s="3" t="n">
        <v>16</v>
      </c>
    </row>
    <row r="818" customFormat="false" ht="15" hidden="false" customHeight="false" outlineLevel="0" collapsed="false">
      <c r="A818" s="2" t="n">
        <v>46229</v>
      </c>
      <c r="B818" s="3" t="s">
        <v>25</v>
      </c>
      <c r="C818" s="3" t="s">
        <v>26</v>
      </c>
      <c r="D818" s="3" t="n">
        <v>6</v>
      </c>
    </row>
    <row r="819" customFormat="false" ht="15" hidden="false" customHeight="false" outlineLevel="0" collapsed="false">
      <c r="A819" s="2" t="n">
        <v>46229</v>
      </c>
      <c r="B819" s="3" t="s">
        <v>27</v>
      </c>
      <c r="C819" s="3" t="s">
        <v>28</v>
      </c>
      <c r="D819" s="3" t="n">
        <v>13</v>
      </c>
    </row>
    <row r="820" customFormat="false" ht="15" hidden="false" customHeight="false" outlineLevel="0" collapsed="false">
      <c r="A820" s="2" t="n">
        <v>46229</v>
      </c>
      <c r="B820" s="3" t="s">
        <v>27</v>
      </c>
      <c r="C820" s="3" t="s">
        <v>14</v>
      </c>
      <c r="D820" s="3" t="n">
        <v>11</v>
      </c>
    </row>
    <row r="821" customFormat="false" ht="15" hidden="false" customHeight="false" outlineLevel="0" collapsed="false">
      <c r="A821" s="2" t="n">
        <v>46229</v>
      </c>
      <c r="B821" s="3" t="s">
        <v>29</v>
      </c>
      <c r="C821" s="3" t="s">
        <v>16</v>
      </c>
      <c r="D821" s="3" t="n">
        <v>3</v>
      </c>
    </row>
    <row r="822" customFormat="false" ht="15" hidden="false" customHeight="false" outlineLevel="0" collapsed="false">
      <c r="A822" s="2" t="n">
        <v>46229</v>
      </c>
      <c r="B822" s="3" t="s">
        <v>31</v>
      </c>
      <c r="C822" s="3" t="s">
        <v>32</v>
      </c>
      <c r="D822" s="3" t="n">
        <v>82</v>
      </c>
    </row>
    <row r="823" customFormat="false" ht="15" hidden="false" customHeight="false" outlineLevel="0" collapsed="false">
      <c r="A823" s="2" t="n">
        <v>46229</v>
      </c>
      <c r="B823" s="3" t="s">
        <v>31</v>
      </c>
      <c r="C823" s="3" t="s">
        <v>33</v>
      </c>
      <c r="D823" s="3" t="n">
        <v>1295</v>
      </c>
    </row>
    <row r="824" customFormat="false" ht="15" hidden="false" customHeight="false" outlineLevel="0" collapsed="false">
      <c r="A824" s="2" t="n">
        <v>46229</v>
      </c>
      <c r="B824" s="3" t="s">
        <v>31</v>
      </c>
      <c r="C824" s="3" t="s">
        <v>34</v>
      </c>
      <c r="D824" s="3" t="n">
        <v>1213</v>
      </c>
    </row>
    <row r="825" customFormat="false" ht="15" hidden="false" customHeight="false" outlineLevel="0" collapsed="false">
      <c r="A825" s="2" t="n">
        <v>46229</v>
      </c>
      <c r="B825" s="3" t="s">
        <v>31</v>
      </c>
      <c r="C825" s="3" t="s">
        <v>20</v>
      </c>
      <c r="D825" s="3" t="n">
        <v>177</v>
      </c>
    </row>
    <row r="826" customFormat="false" ht="15" hidden="false" customHeight="false" outlineLevel="0" collapsed="false">
      <c r="A826" s="2" t="n">
        <v>46229</v>
      </c>
      <c r="B826" s="3" t="s">
        <v>31</v>
      </c>
      <c r="C826" s="3" t="s">
        <v>22</v>
      </c>
      <c r="D826" s="3" t="n">
        <v>38</v>
      </c>
    </row>
    <row r="827" customFormat="false" ht="15" hidden="false" customHeight="false" outlineLevel="0" collapsed="false">
      <c r="A827" s="2" t="n">
        <v>46229</v>
      </c>
      <c r="B827" s="3" t="s">
        <v>31</v>
      </c>
      <c r="C827" s="3" t="s">
        <v>23</v>
      </c>
      <c r="D827" s="3" t="n">
        <v>6</v>
      </c>
    </row>
    <row r="828" customFormat="false" ht="15" hidden="false" customHeight="false" outlineLevel="0" collapsed="false">
      <c r="A828" s="2" t="n">
        <v>46229</v>
      </c>
      <c r="B828" s="3" t="s">
        <v>36</v>
      </c>
      <c r="C828" s="3" t="s">
        <v>14</v>
      </c>
      <c r="D828" s="3" t="n">
        <v>5</v>
      </c>
    </row>
    <row r="829" customFormat="false" ht="15" hidden="false" customHeight="false" outlineLevel="0" collapsed="false">
      <c r="A829" s="2" t="n">
        <v>46229</v>
      </c>
      <c r="B829" s="3" t="s">
        <v>36</v>
      </c>
      <c r="C829" s="3" t="s">
        <v>40</v>
      </c>
      <c r="D829" s="3" t="n">
        <v>2</v>
      </c>
    </row>
    <row r="830" customFormat="false" ht="15" hidden="false" customHeight="false" outlineLevel="0" collapsed="false">
      <c r="A830" s="2" t="n">
        <v>46229</v>
      </c>
      <c r="B830" s="3" t="s">
        <v>36</v>
      </c>
      <c r="C830" s="3" t="s">
        <v>11</v>
      </c>
      <c r="D830" s="3" t="n">
        <v>2482</v>
      </c>
    </row>
    <row r="831" customFormat="false" ht="15" hidden="false" customHeight="false" outlineLevel="0" collapsed="false">
      <c r="A831" s="2" t="n">
        <v>46229</v>
      </c>
      <c r="B831" s="3" t="s">
        <v>36</v>
      </c>
      <c r="C831" s="3" t="s">
        <v>37</v>
      </c>
      <c r="D831" s="3" t="n">
        <v>243</v>
      </c>
    </row>
    <row r="832" customFormat="false" ht="15" hidden="false" customHeight="false" outlineLevel="0" collapsed="false">
      <c r="A832" s="2" t="n">
        <v>46229</v>
      </c>
      <c r="B832" s="3" t="s">
        <v>36</v>
      </c>
      <c r="C832" s="3" t="s">
        <v>38</v>
      </c>
      <c r="D832" s="3" t="n">
        <v>243</v>
      </c>
    </row>
    <row r="833" customFormat="false" ht="15" hidden="false" customHeight="false" outlineLevel="0" collapsed="false">
      <c r="A833" s="2" t="n">
        <v>46229</v>
      </c>
      <c r="B833" s="3" t="s">
        <v>36</v>
      </c>
      <c r="C833" s="3" t="s">
        <v>39</v>
      </c>
      <c r="D833" s="3" t="n">
        <v>154</v>
      </c>
    </row>
    <row r="834" customFormat="false" ht="15" hidden="false" customHeight="false" outlineLevel="0" collapsed="false">
      <c r="A834" s="2" t="n">
        <v>46229</v>
      </c>
      <c r="B834" s="3" t="s">
        <v>41</v>
      </c>
      <c r="C834" s="3" t="s">
        <v>26</v>
      </c>
      <c r="D834" s="3" t="n">
        <v>2</v>
      </c>
    </row>
    <row r="835" customFormat="false" ht="15" hidden="false" customHeight="false" outlineLevel="0" collapsed="false">
      <c r="A835" s="2" t="n">
        <v>46229</v>
      </c>
      <c r="B835" s="3" t="s">
        <v>41</v>
      </c>
      <c r="C835" s="3" t="s">
        <v>38</v>
      </c>
      <c r="D835" s="3" t="n">
        <v>84</v>
      </c>
    </row>
    <row r="836" customFormat="false" ht="15" hidden="false" customHeight="false" outlineLevel="0" collapsed="false">
      <c r="A836" s="2" t="n">
        <v>46229</v>
      </c>
      <c r="B836" s="3" t="s">
        <v>41</v>
      </c>
      <c r="C836" s="3" t="s">
        <v>28</v>
      </c>
      <c r="D836" s="3" t="n">
        <v>1</v>
      </c>
    </row>
    <row r="837" customFormat="false" ht="15" hidden="false" customHeight="false" outlineLevel="0" collapsed="false">
      <c r="A837" s="2" t="n">
        <v>46229</v>
      </c>
      <c r="B837" s="3" t="s">
        <v>41</v>
      </c>
      <c r="C837" s="3" t="s">
        <v>39</v>
      </c>
      <c r="D837" s="3" t="n">
        <v>67</v>
      </c>
    </row>
    <row r="838" customFormat="false" ht="15" hidden="false" customHeight="false" outlineLevel="0" collapsed="false">
      <c r="A838" s="2" t="n">
        <v>46229</v>
      </c>
      <c r="B838" s="3" t="s">
        <v>41</v>
      </c>
      <c r="C838" s="3" t="s">
        <v>14</v>
      </c>
      <c r="D838" s="3" t="n">
        <v>6</v>
      </c>
    </row>
    <row r="839" customFormat="false" ht="15" hidden="false" customHeight="false" outlineLevel="0" collapsed="false">
      <c r="A839" s="2" t="n">
        <v>46229</v>
      </c>
      <c r="B839" s="3" t="s">
        <v>41</v>
      </c>
      <c r="C839" s="3" t="s">
        <v>42</v>
      </c>
      <c r="D839" s="3" t="n">
        <v>1</v>
      </c>
    </row>
    <row r="840" customFormat="false" ht="15" hidden="false" customHeight="false" outlineLevel="0" collapsed="false">
      <c r="A840" s="2" t="n">
        <v>46229</v>
      </c>
      <c r="B840" s="3" t="s">
        <v>41</v>
      </c>
      <c r="C840" s="3" t="s">
        <v>11</v>
      </c>
      <c r="D840" s="3" t="n">
        <v>247</v>
      </c>
    </row>
    <row r="841" customFormat="false" ht="15" hidden="false" customHeight="false" outlineLevel="0" collapsed="false">
      <c r="A841" s="2" t="n">
        <v>46229</v>
      </c>
      <c r="B841" s="3" t="s">
        <v>46</v>
      </c>
      <c r="C841" s="3" t="s">
        <v>16</v>
      </c>
      <c r="D841" s="3" t="n">
        <v>3760</v>
      </c>
    </row>
    <row r="842" customFormat="false" ht="15" hidden="false" customHeight="false" outlineLevel="0" collapsed="false">
      <c r="A842" s="2" t="n">
        <v>46229</v>
      </c>
      <c r="B842" s="3" t="s">
        <v>47</v>
      </c>
      <c r="C842" s="3" t="s">
        <v>16</v>
      </c>
      <c r="D842" s="3" t="n">
        <v>16</v>
      </c>
    </row>
    <row r="843" customFormat="false" ht="15" hidden="false" customHeight="false" outlineLevel="0" collapsed="false">
      <c r="A843" s="2" t="n">
        <v>46229</v>
      </c>
      <c r="B843" s="3" t="s">
        <v>48</v>
      </c>
      <c r="C843" s="3" t="s">
        <v>38</v>
      </c>
      <c r="D843" s="3" t="n">
        <v>6</v>
      </c>
    </row>
    <row r="844" customFormat="false" ht="15" hidden="false" customHeight="false" outlineLevel="0" collapsed="false">
      <c r="A844" s="2" t="n">
        <v>46229</v>
      </c>
      <c r="B844" s="3" t="s">
        <v>48</v>
      </c>
      <c r="C844" s="3" t="s">
        <v>39</v>
      </c>
      <c r="D844" s="3" t="n">
        <v>1</v>
      </c>
    </row>
    <row r="845" customFormat="false" ht="15" hidden="false" customHeight="false" outlineLevel="0" collapsed="false">
      <c r="A845" s="2" t="n">
        <v>46229</v>
      </c>
      <c r="B845" s="3" t="s">
        <v>48</v>
      </c>
      <c r="C845" s="3" t="s">
        <v>14</v>
      </c>
      <c r="D845" s="3" t="n">
        <v>4</v>
      </c>
    </row>
    <row r="846" customFormat="false" ht="15" hidden="false" customHeight="false" outlineLevel="0" collapsed="false">
      <c r="A846" s="2" t="n">
        <v>46229</v>
      </c>
      <c r="B846" s="3" t="s">
        <v>49</v>
      </c>
      <c r="C846" s="3" t="s">
        <v>40</v>
      </c>
      <c r="D846" s="3" t="n">
        <v>11401</v>
      </c>
    </row>
    <row r="847" customFormat="false" ht="15" hidden="false" customHeight="false" outlineLevel="0" collapsed="false">
      <c r="A847" s="2" t="n">
        <v>46229</v>
      </c>
      <c r="B847" s="3" t="s">
        <v>50</v>
      </c>
      <c r="C847" s="3" t="s">
        <v>40</v>
      </c>
      <c r="D847" s="3" t="n">
        <v>10899</v>
      </c>
    </row>
    <row r="848" customFormat="false" ht="15" hidden="false" customHeight="false" outlineLevel="0" collapsed="false">
      <c r="A848" s="2" t="n">
        <v>46229</v>
      </c>
      <c r="B848" s="3" t="s">
        <v>51</v>
      </c>
      <c r="C848" s="3" t="s">
        <v>32</v>
      </c>
      <c r="D848" s="3" t="n">
        <v>1360</v>
      </c>
    </row>
    <row r="849" customFormat="false" ht="15" hidden="false" customHeight="false" outlineLevel="0" collapsed="false">
      <c r="A849" s="2" t="n">
        <v>46229</v>
      </c>
      <c r="B849" s="3" t="s">
        <v>51</v>
      </c>
      <c r="C849" s="3" t="s">
        <v>33</v>
      </c>
      <c r="D849" s="3" t="n">
        <v>4621</v>
      </c>
    </row>
    <row r="850" customFormat="false" ht="15" hidden="false" customHeight="false" outlineLevel="0" collapsed="false">
      <c r="A850" s="2" t="n">
        <v>46229</v>
      </c>
      <c r="B850" s="3" t="s">
        <v>51</v>
      </c>
      <c r="C850" s="3" t="s">
        <v>34</v>
      </c>
      <c r="D850" s="3" t="n">
        <v>3262</v>
      </c>
    </row>
    <row r="851" customFormat="false" ht="15" hidden="false" customHeight="false" outlineLevel="0" collapsed="false">
      <c r="A851" s="2" t="n">
        <v>46229</v>
      </c>
      <c r="B851" s="3" t="s">
        <v>51</v>
      </c>
      <c r="C851" s="3" t="s">
        <v>20</v>
      </c>
      <c r="D851" s="3" t="n">
        <v>4598</v>
      </c>
    </row>
    <row r="852" customFormat="false" ht="15" hidden="false" customHeight="false" outlineLevel="0" collapsed="false">
      <c r="A852" s="2" t="n">
        <v>46229</v>
      </c>
      <c r="B852" s="3" t="s">
        <v>51</v>
      </c>
      <c r="C852" s="3" t="s">
        <v>22</v>
      </c>
      <c r="D852" s="3" t="n">
        <v>2327</v>
      </c>
    </row>
    <row r="853" customFormat="false" ht="15" hidden="false" customHeight="false" outlineLevel="0" collapsed="false">
      <c r="A853" s="2" t="n">
        <v>46229</v>
      </c>
      <c r="B853" s="3" t="s">
        <v>52</v>
      </c>
      <c r="C853" s="3" t="s">
        <v>11</v>
      </c>
      <c r="D853" s="3" t="n">
        <v>10202</v>
      </c>
    </row>
    <row r="854" customFormat="false" ht="15" hidden="false" customHeight="false" outlineLevel="0" collapsed="false">
      <c r="A854" s="2" t="n">
        <v>46229</v>
      </c>
      <c r="B854" s="3" t="s">
        <v>53</v>
      </c>
      <c r="C854" s="3" t="s">
        <v>14</v>
      </c>
      <c r="D854" s="3" t="n">
        <v>2</v>
      </c>
    </row>
    <row r="855" customFormat="false" ht="15" hidden="false" customHeight="false" outlineLevel="0" collapsed="false">
      <c r="A855" s="2" t="n">
        <v>46229</v>
      </c>
      <c r="B855" s="3" t="s">
        <v>53</v>
      </c>
      <c r="C855" s="3" t="s">
        <v>39</v>
      </c>
      <c r="D855" s="3" t="n">
        <v>463</v>
      </c>
    </row>
    <row r="856" customFormat="false" ht="15" hidden="false" customHeight="false" outlineLevel="0" collapsed="false">
      <c r="A856" s="2" t="n">
        <v>46229</v>
      </c>
      <c r="B856" s="3" t="s">
        <v>54</v>
      </c>
      <c r="C856" s="3" t="s">
        <v>38</v>
      </c>
      <c r="D856" s="3" t="n">
        <v>3542</v>
      </c>
    </row>
    <row r="857" customFormat="false" ht="15" hidden="false" customHeight="false" outlineLevel="0" collapsed="false">
      <c r="A857" s="2" t="n">
        <v>46229</v>
      </c>
      <c r="B857" s="3" t="s">
        <v>54</v>
      </c>
      <c r="C857" s="3" t="s">
        <v>39</v>
      </c>
      <c r="D857" s="3" t="n">
        <v>4411</v>
      </c>
    </row>
    <row r="858" customFormat="false" ht="15" hidden="false" customHeight="false" outlineLevel="0" collapsed="false">
      <c r="A858" s="2" t="n">
        <v>46229</v>
      </c>
      <c r="B858" s="3" t="s">
        <v>54</v>
      </c>
      <c r="C858" s="3" t="s">
        <v>14</v>
      </c>
      <c r="D858" s="3" t="n">
        <v>3</v>
      </c>
    </row>
    <row r="859" customFormat="false" ht="15" hidden="false" customHeight="false" outlineLevel="0" collapsed="false">
      <c r="A859" s="2" t="n">
        <v>46229</v>
      </c>
      <c r="B859" s="3" t="s">
        <v>55</v>
      </c>
      <c r="C859" s="3" t="s">
        <v>40</v>
      </c>
      <c r="D859" s="3" t="n">
        <v>961</v>
      </c>
    </row>
    <row r="860" customFormat="false" ht="15" hidden="false" customHeight="false" outlineLevel="0" collapsed="false">
      <c r="A860" s="2" t="n">
        <v>46229</v>
      </c>
      <c r="B860" s="3" t="s">
        <v>56</v>
      </c>
      <c r="C860" s="3" t="s">
        <v>14</v>
      </c>
      <c r="D860" s="3" t="n">
        <v>3</v>
      </c>
    </row>
    <row r="861" customFormat="false" ht="15" hidden="false" customHeight="false" outlineLevel="0" collapsed="false">
      <c r="A861" s="2" t="n">
        <v>46229</v>
      </c>
      <c r="B861" s="3" t="s">
        <v>56</v>
      </c>
      <c r="C861" s="3" t="s">
        <v>39</v>
      </c>
      <c r="D861" s="3" t="n">
        <v>1095</v>
      </c>
    </row>
    <row r="862" customFormat="false" ht="15" hidden="false" customHeight="false" outlineLevel="0" collapsed="false">
      <c r="A862" s="2" t="n">
        <v>46229</v>
      </c>
      <c r="B862" s="3" t="s">
        <v>57</v>
      </c>
      <c r="C862" s="3" t="s">
        <v>38</v>
      </c>
      <c r="D862" s="3" t="n">
        <v>55</v>
      </c>
    </row>
    <row r="863" customFormat="false" ht="15" hidden="false" customHeight="false" outlineLevel="0" collapsed="false">
      <c r="A863" s="2" t="n">
        <v>46229</v>
      </c>
      <c r="B863" s="3" t="s">
        <v>57</v>
      </c>
      <c r="C863" s="3" t="s">
        <v>39</v>
      </c>
      <c r="D863" s="3" t="n">
        <v>1</v>
      </c>
    </row>
    <row r="864" customFormat="false" ht="15" hidden="false" customHeight="false" outlineLevel="0" collapsed="false">
      <c r="A864" s="2" t="n">
        <v>46229</v>
      </c>
      <c r="B864" s="3" t="s">
        <v>57</v>
      </c>
      <c r="C864" s="3" t="s">
        <v>14</v>
      </c>
      <c r="D864" s="3" t="n">
        <v>2</v>
      </c>
    </row>
    <row r="865" customFormat="false" ht="15" hidden="false" customHeight="false" outlineLevel="0" collapsed="false">
      <c r="A865" s="2" t="n">
        <v>46229</v>
      </c>
      <c r="B865" s="3" t="s">
        <v>58</v>
      </c>
      <c r="C865" s="3" t="s">
        <v>14</v>
      </c>
      <c r="D865" s="3" t="n">
        <v>2</v>
      </c>
    </row>
    <row r="866" customFormat="false" ht="15" hidden="false" customHeight="false" outlineLevel="0" collapsed="false">
      <c r="A866" s="2" t="n">
        <v>46229</v>
      </c>
      <c r="B866" s="3" t="s">
        <v>58</v>
      </c>
      <c r="C866" s="3" t="s">
        <v>39</v>
      </c>
      <c r="D866" s="3" t="n">
        <v>55</v>
      </c>
    </row>
    <row r="867" customFormat="false" ht="15" hidden="false" customHeight="false" outlineLevel="0" collapsed="false">
      <c r="A867" s="2" t="n">
        <v>46229</v>
      </c>
      <c r="B867" s="3" t="s">
        <v>60</v>
      </c>
      <c r="C867" s="3" t="s">
        <v>38</v>
      </c>
      <c r="D867" s="3" t="n">
        <v>603</v>
      </c>
    </row>
    <row r="868" customFormat="false" ht="15" hidden="false" customHeight="false" outlineLevel="0" collapsed="false">
      <c r="A868" s="2" t="n">
        <v>46229</v>
      </c>
      <c r="B868" s="3" t="s">
        <v>60</v>
      </c>
      <c r="C868" s="3" t="s">
        <v>39</v>
      </c>
      <c r="D868" s="3" t="n">
        <v>1202</v>
      </c>
    </row>
    <row r="869" customFormat="false" ht="15" hidden="false" customHeight="false" outlineLevel="0" collapsed="false">
      <c r="A869" s="2" t="n">
        <v>46229</v>
      </c>
      <c r="B869" s="3" t="s">
        <v>60</v>
      </c>
      <c r="C869" s="3" t="s">
        <v>14</v>
      </c>
      <c r="D869" s="3" t="n">
        <v>3</v>
      </c>
    </row>
    <row r="870" customFormat="false" ht="15" hidden="false" customHeight="false" outlineLevel="0" collapsed="false">
      <c r="A870" s="2" t="n">
        <v>46229</v>
      </c>
      <c r="B870" s="3" t="s">
        <v>61</v>
      </c>
      <c r="C870" s="3" t="s">
        <v>14</v>
      </c>
      <c r="D870" s="3" t="n">
        <v>2</v>
      </c>
    </row>
    <row r="871" customFormat="false" ht="15" hidden="false" customHeight="false" outlineLevel="0" collapsed="false">
      <c r="A871" s="2" t="n">
        <v>46229</v>
      </c>
      <c r="B871" s="3" t="s">
        <v>61</v>
      </c>
      <c r="C871" s="3" t="s">
        <v>38</v>
      </c>
      <c r="D871" s="3" t="n">
        <v>22</v>
      </c>
    </row>
    <row r="872" customFormat="false" ht="15" hidden="false" customHeight="false" outlineLevel="0" collapsed="false">
      <c r="A872" s="2" t="n">
        <v>46229</v>
      </c>
      <c r="B872" s="3" t="s">
        <v>61</v>
      </c>
      <c r="C872" s="3" t="s">
        <v>39</v>
      </c>
      <c r="D872" s="3" t="n">
        <v>57</v>
      </c>
    </row>
    <row r="873" customFormat="false" ht="15" hidden="false" customHeight="false" outlineLevel="0" collapsed="false">
      <c r="A873" s="2" t="n">
        <v>46229</v>
      </c>
      <c r="B873" s="3" t="s">
        <v>62</v>
      </c>
      <c r="C873" s="3" t="s">
        <v>38</v>
      </c>
      <c r="D873" s="3" t="n">
        <v>2583</v>
      </c>
    </row>
    <row r="874" customFormat="false" ht="15" hidden="false" customHeight="false" outlineLevel="0" collapsed="false">
      <c r="A874" s="2" t="n">
        <v>46229</v>
      </c>
      <c r="B874" s="3" t="s">
        <v>62</v>
      </c>
      <c r="C874" s="3" t="s">
        <v>39</v>
      </c>
      <c r="D874" s="3" t="n">
        <v>253</v>
      </c>
    </row>
    <row r="875" customFormat="false" ht="15" hidden="false" customHeight="false" outlineLevel="0" collapsed="false">
      <c r="A875" s="2" t="n">
        <v>46229</v>
      </c>
      <c r="B875" s="3" t="s">
        <v>62</v>
      </c>
      <c r="C875" s="3" t="s">
        <v>14</v>
      </c>
      <c r="D875" s="3" t="n">
        <v>1</v>
      </c>
    </row>
    <row r="876" customFormat="false" ht="15" hidden="false" customHeight="false" outlineLevel="0" collapsed="false">
      <c r="A876" s="2" t="n">
        <v>46229</v>
      </c>
      <c r="B876" s="3" t="s">
        <v>63</v>
      </c>
      <c r="C876" s="3" t="s">
        <v>40</v>
      </c>
      <c r="D876" s="3" t="n">
        <v>1932</v>
      </c>
    </row>
    <row r="877" customFormat="false" ht="15" hidden="false" customHeight="false" outlineLevel="0" collapsed="false">
      <c r="A877" s="2" t="n">
        <v>46229</v>
      </c>
      <c r="B877" s="3" t="s">
        <v>64</v>
      </c>
      <c r="C877" s="3" t="s">
        <v>40</v>
      </c>
      <c r="D877" s="3" t="n">
        <v>1</v>
      </c>
    </row>
    <row r="878" customFormat="false" ht="15" hidden="false" customHeight="false" outlineLevel="0" collapsed="false">
      <c r="A878" s="2" t="n">
        <v>46229</v>
      </c>
      <c r="B878" s="3" t="s">
        <v>65</v>
      </c>
      <c r="C878" s="3" t="s">
        <v>40</v>
      </c>
      <c r="D878" s="3" t="n">
        <v>1</v>
      </c>
    </row>
    <row r="879" customFormat="false" ht="15" hidden="false" customHeight="false" outlineLevel="0" collapsed="false">
      <c r="A879" s="2" t="n">
        <v>46229</v>
      </c>
      <c r="B879" s="3" t="s">
        <v>115</v>
      </c>
      <c r="C879" s="3" t="s">
        <v>40</v>
      </c>
      <c r="D879" s="3" t="n">
        <v>1</v>
      </c>
    </row>
    <row r="880" customFormat="false" ht="15" hidden="false" customHeight="false" outlineLevel="0" collapsed="false">
      <c r="A880" s="2" t="n">
        <v>46229</v>
      </c>
      <c r="B880" s="3" t="s">
        <v>67</v>
      </c>
      <c r="C880" s="3" t="s">
        <v>20</v>
      </c>
      <c r="D880" s="3" t="n">
        <v>1469</v>
      </c>
    </row>
    <row r="881" customFormat="false" ht="15" hidden="false" customHeight="false" outlineLevel="0" collapsed="false">
      <c r="A881" s="2" t="n">
        <v>46229</v>
      </c>
      <c r="B881" s="3" t="s">
        <v>67</v>
      </c>
      <c r="C881" s="3" t="s">
        <v>22</v>
      </c>
      <c r="D881" s="3" t="n">
        <v>2</v>
      </c>
    </row>
    <row r="882" customFormat="false" ht="15" hidden="false" customHeight="false" outlineLevel="0" collapsed="false">
      <c r="A882" s="2" t="n">
        <v>46229</v>
      </c>
      <c r="B882" s="3" t="s">
        <v>67</v>
      </c>
      <c r="C882" s="3" t="s">
        <v>32</v>
      </c>
      <c r="D882" s="3" t="n">
        <v>459</v>
      </c>
    </row>
    <row r="883" customFormat="false" ht="15" hidden="false" customHeight="false" outlineLevel="0" collapsed="false">
      <c r="A883" s="2" t="n">
        <v>46229</v>
      </c>
      <c r="B883" s="3" t="s">
        <v>67</v>
      </c>
      <c r="C883" s="3" t="s">
        <v>33</v>
      </c>
      <c r="D883" s="3" t="n">
        <v>6529</v>
      </c>
    </row>
    <row r="884" customFormat="false" ht="15" hidden="false" customHeight="false" outlineLevel="0" collapsed="false">
      <c r="A884" s="2" t="n">
        <v>46229</v>
      </c>
      <c r="B884" s="3" t="s">
        <v>67</v>
      </c>
      <c r="C884" s="3" t="s">
        <v>34</v>
      </c>
      <c r="D884" s="3" t="n">
        <v>6070</v>
      </c>
    </row>
    <row r="885" customFormat="false" ht="15" hidden="false" customHeight="false" outlineLevel="0" collapsed="false">
      <c r="A885" s="2" t="n">
        <v>46229</v>
      </c>
      <c r="B885" s="3" t="s">
        <v>68</v>
      </c>
      <c r="C885" s="3" t="s">
        <v>11</v>
      </c>
      <c r="D885" s="3" t="n">
        <v>44</v>
      </c>
    </row>
    <row r="886" customFormat="false" ht="15" hidden="false" customHeight="false" outlineLevel="0" collapsed="false">
      <c r="A886" s="2" t="n">
        <v>46229</v>
      </c>
      <c r="B886" s="3" t="s">
        <v>69</v>
      </c>
      <c r="C886" s="3" t="s">
        <v>11</v>
      </c>
      <c r="D886" s="3" t="n">
        <v>17850</v>
      </c>
    </row>
    <row r="887" customFormat="false" ht="15" hidden="false" customHeight="false" outlineLevel="0" collapsed="false">
      <c r="A887" s="2" t="n">
        <v>46229</v>
      </c>
      <c r="B887" s="3" t="s">
        <v>71</v>
      </c>
      <c r="C887" s="3" t="s">
        <v>42</v>
      </c>
      <c r="D887" s="3" t="n">
        <v>1</v>
      </c>
    </row>
    <row r="888" customFormat="false" ht="15" hidden="false" customHeight="false" outlineLevel="0" collapsed="false">
      <c r="A888" s="2" t="n">
        <v>46229</v>
      </c>
      <c r="B888" s="3" t="s">
        <v>71</v>
      </c>
      <c r="C888" s="3" t="s">
        <v>14</v>
      </c>
      <c r="D888" s="3" t="n">
        <v>7674</v>
      </c>
    </row>
    <row r="889" customFormat="false" ht="15" hidden="false" customHeight="false" outlineLevel="0" collapsed="false">
      <c r="A889" s="2" t="n">
        <v>46229</v>
      </c>
      <c r="B889" s="3" t="s">
        <v>71</v>
      </c>
      <c r="C889" s="3" t="s">
        <v>37</v>
      </c>
      <c r="D889" s="3" t="n">
        <v>1</v>
      </c>
    </row>
    <row r="890" customFormat="false" ht="15" hidden="false" customHeight="false" outlineLevel="0" collapsed="false">
      <c r="A890" s="2" t="n">
        <v>46229</v>
      </c>
      <c r="B890" s="3" t="s">
        <v>71</v>
      </c>
      <c r="C890" s="3" t="s">
        <v>38</v>
      </c>
      <c r="D890" s="3" t="n">
        <v>7642</v>
      </c>
    </row>
    <row r="891" customFormat="false" ht="15" hidden="false" customHeight="false" outlineLevel="0" collapsed="false">
      <c r="A891" s="2" t="n">
        <v>46229</v>
      </c>
      <c r="B891" s="3" t="s">
        <v>71</v>
      </c>
      <c r="C891" s="3" t="s">
        <v>39</v>
      </c>
      <c r="D891" s="3" t="n">
        <v>1638</v>
      </c>
    </row>
    <row r="892" customFormat="false" ht="15" hidden="false" customHeight="false" outlineLevel="0" collapsed="false">
      <c r="A892" s="2" t="n">
        <v>46229</v>
      </c>
      <c r="B892" s="3" t="s">
        <v>72</v>
      </c>
      <c r="C892" s="3" t="s">
        <v>40</v>
      </c>
      <c r="D892" s="3" t="n">
        <v>136</v>
      </c>
    </row>
    <row r="893" customFormat="false" ht="15" hidden="false" customHeight="false" outlineLevel="0" collapsed="false">
      <c r="A893" s="2" t="n">
        <v>46229</v>
      </c>
      <c r="B893" s="3" t="s">
        <v>75</v>
      </c>
      <c r="C893" s="3" t="s">
        <v>11</v>
      </c>
      <c r="D893" s="3" t="n">
        <v>563</v>
      </c>
    </row>
    <row r="894" customFormat="false" ht="15" hidden="false" customHeight="false" outlineLevel="0" collapsed="false">
      <c r="A894" s="2" t="n">
        <v>46229</v>
      </c>
      <c r="B894" s="3" t="s">
        <v>76</v>
      </c>
      <c r="C894" s="3" t="s">
        <v>11</v>
      </c>
      <c r="D894" s="3" t="n">
        <v>132</v>
      </c>
    </row>
    <row r="895" customFormat="false" ht="15" hidden="false" customHeight="false" outlineLevel="0" collapsed="false">
      <c r="A895" s="2" t="n">
        <v>46229</v>
      </c>
      <c r="B895" s="3" t="s">
        <v>77</v>
      </c>
      <c r="C895" s="3" t="s">
        <v>23</v>
      </c>
      <c r="D895" s="3" t="n">
        <v>8</v>
      </c>
    </row>
    <row r="896" customFormat="false" ht="15" hidden="false" customHeight="false" outlineLevel="0" collapsed="false">
      <c r="A896" s="2" t="n">
        <v>46229</v>
      </c>
      <c r="B896" s="3" t="s">
        <v>77</v>
      </c>
      <c r="C896" s="3" t="s">
        <v>35</v>
      </c>
      <c r="D896" s="3" t="n">
        <v>120</v>
      </c>
    </row>
    <row r="897" customFormat="false" ht="15" hidden="false" customHeight="false" outlineLevel="0" collapsed="false">
      <c r="A897" s="2" t="n">
        <v>46229</v>
      </c>
      <c r="B897" s="3" t="s">
        <v>77</v>
      </c>
      <c r="C897" s="3" t="s">
        <v>78</v>
      </c>
      <c r="D897" s="3" t="n">
        <v>60</v>
      </c>
    </row>
    <row r="898" customFormat="false" ht="15" hidden="false" customHeight="false" outlineLevel="0" collapsed="false">
      <c r="A898" s="2" t="n">
        <v>46229</v>
      </c>
      <c r="B898" s="3" t="s">
        <v>79</v>
      </c>
      <c r="C898" s="3" t="s">
        <v>14</v>
      </c>
      <c r="D898" s="3" t="n">
        <v>1</v>
      </c>
    </row>
    <row r="899" customFormat="false" ht="15" hidden="false" customHeight="false" outlineLevel="0" collapsed="false">
      <c r="A899" s="2" t="n">
        <v>46229</v>
      </c>
      <c r="B899" s="3" t="s">
        <v>80</v>
      </c>
      <c r="C899" s="3" t="s">
        <v>14</v>
      </c>
      <c r="D899" s="3" t="n">
        <v>8</v>
      </c>
    </row>
    <row r="900" customFormat="false" ht="15" hidden="false" customHeight="false" outlineLevel="0" collapsed="false">
      <c r="A900" s="2" t="n">
        <v>46229</v>
      </c>
      <c r="B900" s="3" t="s">
        <v>80</v>
      </c>
      <c r="C900" s="3" t="s">
        <v>40</v>
      </c>
      <c r="D900" s="3" t="n">
        <v>37</v>
      </c>
    </row>
    <row r="901" customFormat="false" ht="15" hidden="false" customHeight="false" outlineLevel="0" collapsed="false">
      <c r="A901" s="2" t="n">
        <v>46229</v>
      </c>
      <c r="B901" s="3" t="s">
        <v>81</v>
      </c>
      <c r="C901" s="3" t="s">
        <v>40</v>
      </c>
      <c r="D901" s="3" t="n">
        <v>8</v>
      </c>
    </row>
    <row r="902" customFormat="false" ht="15" hidden="false" customHeight="false" outlineLevel="0" collapsed="false">
      <c r="A902" s="2" t="n">
        <v>46229</v>
      </c>
      <c r="B902" s="3" t="s">
        <v>82</v>
      </c>
      <c r="C902" s="3" t="s">
        <v>16</v>
      </c>
      <c r="D902" s="3" t="n">
        <v>1</v>
      </c>
    </row>
    <row r="903" customFormat="false" ht="15" hidden="false" customHeight="false" outlineLevel="0" collapsed="false">
      <c r="A903" s="2" t="n">
        <v>46229</v>
      </c>
      <c r="B903" s="3" t="s">
        <v>83</v>
      </c>
      <c r="C903" s="3" t="s">
        <v>16</v>
      </c>
      <c r="D903" s="3" t="n">
        <v>1</v>
      </c>
    </row>
    <row r="904" customFormat="false" ht="15" hidden="false" customHeight="false" outlineLevel="0" collapsed="false">
      <c r="A904" s="2" t="n">
        <v>46229</v>
      </c>
      <c r="B904" s="3" t="s">
        <v>84</v>
      </c>
      <c r="C904" s="3" t="s">
        <v>11</v>
      </c>
      <c r="D904" s="3" t="n">
        <v>2580</v>
      </c>
    </row>
    <row r="905" customFormat="false" ht="15" hidden="false" customHeight="false" outlineLevel="0" collapsed="false">
      <c r="A905" s="2" t="n">
        <v>46229</v>
      </c>
      <c r="B905" s="3" t="s">
        <v>93</v>
      </c>
      <c r="C905" s="3" t="s">
        <v>9</v>
      </c>
      <c r="D905" s="3" t="n">
        <v>9</v>
      </c>
    </row>
    <row r="906" customFormat="false" ht="15" hidden="false" customHeight="false" outlineLevel="0" collapsed="false">
      <c r="A906" s="2" t="n">
        <v>46229</v>
      </c>
      <c r="B906" s="3" t="s">
        <v>95</v>
      </c>
      <c r="C906" s="3" t="s">
        <v>11</v>
      </c>
      <c r="D906" s="3" t="n">
        <v>14</v>
      </c>
    </row>
    <row r="907" customFormat="false" ht="15" hidden="false" customHeight="false" outlineLevel="0" collapsed="false">
      <c r="A907" s="2" t="n">
        <v>46229</v>
      </c>
      <c r="B907" s="3" t="s">
        <v>96</v>
      </c>
      <c r="C907" s="3" t="s">
        <v>40</v>
      </c>
      <c r="D907" s="3" t="n">
        <v>21</v>
      </c>
    </row>
    <row r="908" customFormat="false" ht="15" hidden="false" customHeight="false" outlineLevel="0" collapsed="false">
      <c r="A908" s="2" t="n">
        <v>46229</v>
      </c>
      <c r="B908" s="3" t="s">
        <v>104</v>
      </c>
      <c r="C908" s="3" t="s">
        <v>16</v>
      </c>
      <c r="D908" s="3" t="n">
        <v>3</v>
      </c>
    </row>
    <row r="909" customFormat="false" ht="15" hidden="false" customHeight="false" outlineLevel="0" collapsed="false">
      <c r="A909" s="2" t="n">
        <v>46229</v>
      </c>
      <c r="B909" s="3" t="s">
        <v>106</v>
      </c>
      <c r="C909" s="3" t="s">
        <v>16</v>
      </c>
      <c r="D909" s="3" t="n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0"/>
    <col collapsed="false" customWidth="true" hidden="false" outlineLevel="0" max="9" min="9" style="0" width="11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4" t="s">
        <v>116</v>
      </c>
      <c r="B1" s="4" t="s">
        <v>117</v>
      </c>
      <c r="C1" s="4" t="s">
        <v>118</v>
      </c>
      <c r="D1" s="4" t="s">
        <v>119</v>
      </c>
      <c r="E1" s="4" t="s">
        <v>120</v>
      </c>
      <c r="F1" s="4" t="s">
        <v>121</v>
      </c>
      <c r="G1" s="4" t="s">
        <v>122</v>
      </c>
      <c r="H1" s="4" t="s">
        <v>123</v>
      </c>
      <c r="I1" s="4" t="s">
        <v>124</v>
      </c>
      <c r="J1" s="4" t="s">
        <v>125</v>
      </c>
    </row>
    <row r="2" customFormat="false" ht="15" hidden="false" customHeight="false" outlineLevel="0" collapsed="false">
      <c r="A2" s="3" t="s">
        <v>9</v>
      </c>
      <c r="B2" s="5" t="n">
        <f aca="false">SUMPRODUCT((Data!$A$2:$A$909=DATE(2026,7,20))*EXACT(Data!$C$2:$C$909,$A2)*Data!$D$2:$D$909)</f>
        <v>11</v>
      </c>
      <c r="C2" s="5" t="n">
        <f aca="false">SUMPRODUCT((Data!$A$2:$A$909=DATE(2026,7,21))*EXACT(Data!$C$2:$C$909,$A2)*Data!$D$2:$D$909)</f>
        <v>3</v>
      </c>
      <c r="D2" s="5" t="n">
        <f aca="false">SUMPRODUCT((Data!$A$2:$A$909=DATE(2026,7,22))*EXACT(Data!$C$2:$C$909,$A2)*Data!$D$2:$D$909)</f>
        <v>9</v>
      </c>
      <c r="E2" s="5" t="n">
        <f aca="false">SUMPRODUCT((Data!$A$2:$A$909=DATE(2026,7,23))*EXACT(Data!$C$2:$C$909,$A2)*Data!$D$2:$D$909)</f>
        <v>7</v>
      </c>
      <c r="F2" s="5" t="n">
        <f aca="false">SUMPRODUCT((Data!$A$2:$A$909=DATE(2026,7,24))*EXACT(Data!$C$2:$C$909,$A2)*Data!$D$2:$D$909)</f>
        <v>7</v>
      </c>
      <c r="G2" s="5" t="n">
        <f aca="false">SUMPRODUCT((Data!$A$2:$A$909=DATE(2026,7,25))*EXACT(Data!$C$2:$C$909,$A2)*Data!$D$2:$D$909)</f>
        <v>9</v>
      </c>
      <c r="H2" s="5" t="n">
        <f aca="false">SUMPRODUCT((Data!$A$2:$A$909=DATE(2026,7,26))*EXACT(Data!$C$2:$C$909,$A2)*Data!$D$2:$D$909)</f>
        <v>9</v>
      </c>
      <c r="I2" s="6" t="n">
        <f aca="false">SUM(B2:H2)</f>
        <v>55</v>
      </c>
      <c r="J2" s="7" t="n">
        <f aca="false">IF(B2=0,"",(H2-B2)/B2)</f>
        <v>-0.181818181818182</v>
      </c>
    </row>
    <row r="3" customFormat="false" ht="15" hidden="false" customHeight="false" outlineLevel="0" collapsed="false">
      <c r="A3" s="3" t="s">
        <v>13</v>
      </c>
      <c r="B3" s="5" t="n">
        <f aca="false">SUMPRODUCT((Data!$A$2:$A$909=DATE(2026,7,20))*EXACT(Data!$C$2:$C$909,$A3)*Data!$D$2:$D$909)</f>
        <v>130238</v>
      </c>
      <c r="C3" s="5" t="n">
        <f aca="false">SUMPRODUCT((Data!$A$2:$A$909=DATE(2026,7,21))*EXACT(Data!$C$2:$C$909,$A3)*Data!$D$2:$D$909)</f>
        <v>118085</v>
      </c>
      <c r="D3" s="5" t="n">
        <f aca="false">SUMPRODUCT((Data!$A$2:$A$909=DATE(2026,7,22))*EXACT(Data!$C$2:$C$909,$A3)*Data!$D$2:$D$909)</f>
        <v>112992</v>
      </c>
      <c r="E3" s="5" t="n">
        <f aca="false">SUMPRODUCT((Data!$A$2:$A$909=DATE(2026,7,23))*EXACT(Data!$C$2:$C$909,$A3)*Data!$D$2:$D$909)</f>
        <v>108922</v>
      </c>
      <c r="F3" s="5" t="n">
        <f aca="false">SUMPRODUCT((Data!$A$2:$A$909=DATE(2026,7,24))*EXACT(Data!$C$2:$C$909,$A3)*Data!$D$2:$D$909)</f>
        <v>115880</v>
      </c>
      <c r="G3" s="5" t="n">
        <f aca="false">SUMPRODUCT((Data!$A$2:$A$909=DATE(2026,7,25))*EXACT(Data!$C$2:$C$909,$A3)*Data!$D$2:$D$909)</f>
        <v>111368</v>
      </c>
      <c r="H3" s="5" t="n">
        <f aca="false">SUMPRODUCT((Data!$A$2:$A$909=DATE(2026,7,26))*EXACT(Data!$C$2:$C$909,$A3)*Data!$D$2:$D$909)</f>
        <v>103866</v>
      </c>
      <c r="I3" s="6" t="n">
        <f aca="false">SUM(B3:H3)</f>
        <v>801351</v>
      </c>
      <c r="J3" s="7" t="n">
        <f aca="false">IF(B3=0,"",(H3-B3)/B3)</f>
        <v>-0.202490824490548</v>
      </c>
    </row>
    <row r="4" customFormat="false" ht="15" hidden="false" customHeight="false" outlineLevel="0" collapsed="false">
      <c r="A4" s="3" t="s">
        <v>22</v>
      </c>
      <c r="B4" s="5" t="n">
        <f aca="false">SUMPRODUCT((Data!$A$2:$A$909=DATE(2026,7,20))*EXACT(Data!$C$2:$C$909,$A4)*Data!$D$2:$D$909)</f>
        <v>3200</v>
      </c>
      <c r="C4" s="5" t="n">
        <f aca="false">SUMPRODUCT((Data!$A$2:$A$909=DATE(2026,7,21))*EXACT(Data!$C$2:$C$909,$A4)*Data!$D$2:$D$909)</f>
        <v>3045</v>
      </c>
      <c r="D4" s="5" t="n">
        <f aca="false">SUMPRODUCT((Data!$A$2:$A$909=DATE(2026,7,22))*EXACT(Data!$C$2:$C$909,$A4)*Data!$D$2:$D$909)</f>
        <v>3236</v>
      </c>
      <c r="E4" s="5" t="n">
        <f aca="false">SUMPRODUCT((Data!$A$2:$A$909=DATE(2026,7,23))*EXACT(Data!$C$2:$C$909,$A4)*Data!$D$2:$D$909)</f>
        <v>3468</v>
      </c>
      <c r="F4" s="5" t="n">
        <f aca="false">SUMPRODUCT((Data!$A$2:$A$909=DATE(2026,7,24))*EXACT(Data!$C$2:$C$909,$A4)*Data!$D$2:$D$909)</f>
        <v>3017</v>
      </c>
      <c r="G4" s="5" t="n">
        <f aca="false">SUMPRODUCT((Data!$A$2:$A$909=DATE(2026,7,25))*EXACT(Data!$C$2:$C$909,$A4)*Data!$D$2:$D$909)</f>
        <v>2464</v>
      </c>
      <c r="H4" s="5" t="n">
        <f aca="false">SUMPRODUCT((Data!$A$2:$A$909=DATE(2026,7,26))*EXACT(Data!$C$2:$C$909,$A4)*Data!$D$2:$D$909)</f>
        <v>2367</v>
      </c>
      <c r="I4" s="6" t="n">
        <f aca="false">SUM(B4:H4)</f>
        <v>20797</v>
      </c>
      <c r="J4" s="7" t="n">
        <f aca="false">IF(B4=0,"",(H4-B4)/B4)</f>
        <v>-0.2603125</v>
      </c>
    </row>
    <row r="5" customFormat="false" ht="15" hidden="false" customHeight="false" outlineLevel="0" collapsed="false">
      <c r="A5" s="3" t="s">
        <v>40</v>
      </c>
      <c r="B5" s="5" t="n">
        <f aca="false">SUMPRODUCT((Data!$A$2:$A$909=DATE(2026,7,20))*EXACT(Data!$C$2:$C$909,$A5)*Data!$D$2:$D$909)</f>
        <v>36622</v>
      </c>
      <c r="C5" s="5" t="n">
        <f aca="false">SUMPRODUCT((Data!$A$2:$A$909=DATE(2026,7,21))*EXACT(Data!$C$2:$C$909,$A5)*Data!$D$2:$D$909)</f>
        <v>39756</v>
      </c>
      <c r="D5" s="5" t="n">
        <f aca="false">SUMPRODUCT((Data!$A$2:$A$909=DATE(2026,7,22))*EXACT(Data!$C$2:$C$909,$A5)*Data!$D$2:$D$909)</f>
        <v>32755</v>
      </c>
      <c r="E5" s="5" t="n">
        <f aca="false">SUMPRODUCT((Data!$A$2:$A$909=DATE(2026,7,23))*EXACT(Data!$C$2:$C$909,$A5)*Data!$D$2:$D$909)</f>
        <v>32435</v>
      </c>
      <c r="F5" s="5" t="n">
        <f aca="false">SUMPRODUCT((Data!$A$2:$A$909=DATE(2026,7,24))*EXACT(Data!$C$2:$C$909,$A5)*Data!$D$2:$D$909)</f>
        <v>34956</v>
      </c>
      <c r="G5" s="5" t="n">
        <f aca="false">SUMPRODUCT((Data!$A$2:$A$909=DATE(2026,7,25))*EXACT(Data!$C$2:$C$909,$A5)*Data!$D$2:$D$909)</f>
        <v>28996</v>
      </c>
      <c r="H5" s="5" t="n">
        <f aca="false">SUMPRODUCT((Data!$A$2:$A$909=DATE(2026,7,26))*EXACT(Data!$C$2:$C$909,$A5)*Data!$D$2:$D$909)</f>
        <v>25400</v>
      </c>
      <c r="I5" s="6" t="n">
        <f aca="false">SUM(B5:H5)</f>
        <v>230920</v>
      </c>
      <c r="J5" s="7" t="n">
        <f aca="false">IF(B5=0,"",(H5-B5)/B5)</f>
        <v>-0.30642783026596</v>
      </c>
    </row>
    <row r="6" customFormat="false" ht="15" hidden="false" customHeight="false" outlineLevel="0" collapsed="false">
      <c r="A6" s="3" t="s">
        <v>39</v>
      </c>
      <c r="B6" s="5" t="n">
        <f aca="false">SUMPRODUCT((Data!$A$2:$A$909=DATE(2026,7,20))*EXACT(Data!$C$2:$C$909,$A6)*Data!$D$2:$D$909)</f>
        <v>17933</v>
      </c>
      <c r="C6" s="5" t="n">
        <f aca="false">SUMPRODUCT((Data!$A$2:$A$909=DATE(2026,7,21))*EXACT(Data!$C$2:$C$909,$A6)*Data!$D$2:$D$909)</f>
        <v>17898</v>
      </c>
      <c r="D6" s="5" t="n">
        <f aca="false">SUMPRODUCT((Data!$A$2:$A$909=DATE(2026,7,22))*EXACT(Data!$C$2:$C$909,$A6)*Data!$D$2:$D$909)</f>
        <v>16624</v>
      </c>
      <c r="E6" s="5" t="n">
        <f aca="false">SUMPRODUCT((Data!$A$2:$A$909=DATE(2026,7,23))*EXACT(Data!$C$2:$C$909,$A6)*Data!$D$2:$D$909)</f>
        <v>15643</v>
      </c>
      <c r="F6" s="5" t="n">
        <f aca="false">SUMPRODUCT((Data!$A$2:$A$909=DATE(2026,7,24))*EXACT(Data!$C$2:$C$909,$A6)*Data!$D$2:$D$909)</f>
        <v>15256</v>
      </c>
      <c r="G6" s="5" t="n">
        <f aca="false">SUMPRODUCT((Data!$A$2:$A$909=DATE(2026,7,25))*EXACT(Data!$C$2:$C$909,$A6)*Data!$D$2:$D$909)</f>
        <v>10612</v>
      </c>
      <c r="H6" s="5" t="n">
        <f aca="false">SUMPRODUCT((Data!$A$2:$A$909=DATE(2026,7,26))*EXACT(Data!$C$2:$C$909,$A6)*Data!$D$2:$D$909)</f>
        <v>9397</v>
      </c>
      <c r="I6" s="6" t="n">
        <f aca="false">SUM(B6:H6)</f>
        <v>103363</v>
      </c>
      <c r="J6" s="7" t="n">
        <f aca="false">IF(B6=0,"",(H6-B6)/B6)</f>
        <v>-0.475993977583227</v>
      </c>
    </row>
    <row r="7" customFormat="false" ht="15" hidden="false" customHeight="false" outlineLevel="0" collapsed="false">
      <c r="A7" s="3" t="s">
        <v>20</v>
      </c>
      <c r="B7" s="5" t="n">
        <f aca="false">SUMPRODUCT((Data!$A$2:$A$909=DATE(2026,7,20))*EXACT(Data!$C$2:$C$909,$A7)*Data!$D$2:$D$909)</f>
        <v>11999</v>
      </c>
      <c r="C7" s="5" t="n">
        <f aca="false">SUMPRODUCT((Data!$A$2:$A$909=DATE(2026,7,21))*EXACT(Data!$C$2:$C$909,$A7)*Data!$D$2:$D$909)</f>
        <v>11104</v>
      </c>
      <c r="D7" s="5" t="n">
        <f aca="false">SUMPRODUCT((Data!$A$2:$A$909=DATE(2026,7,22))*EXACT(Data!$C$2:$C$909,$A7)*Data!$D$2:$D$909)</f>
        <v>10374</v>
      </c>
      <c r="E7" s="5" t="n">
        <f aca="false">SUMPRODUCT((Data!$A$2:$A$909=DATE(2026,7,23))*EXACT(Data!$C$2:$C$909,$A7)*Data!$D$2:$D$909)</f>
        <v>10537</v>
      </c>
      <c r="F7" s="5" t="n">
        <f aca="false">SUMPRODUCT((Data!$A$2:$A$909=DATE(2026,7,24))*EXACT(Data!$C$2:$C$909,$A7)*Data!$D$2:$D$909)</f>
        <v>10086</v>
      </c>
      <c r="G7" s="5" t="n">
        <f aca="false">SUMPRODUCT((Data!$A$2:$A$909=DATE(2026,7,25))*EXACT(Data!$C$2:$C$909,$A7)*Data!$D$2:$D$909)</f>
        <v>6218</v>
      </c>
      <c r="H7" s="5" t="n">
        <f aca="false">SUMPRODUCT((Data!$A$2:$A$909=DATE(2026,7,26))*EXACT(Data!$C$2:$C$909,$A7)*Data!$D$2:$D$909)</f>
        <v>6252</v>
      </c>
      <c r="I7" s="6" t="n">
        <f aca="false">SUM(B7:H7)</f>
        <v>66570</v>
      </c>
      <c r="J7" s="7" t="n">
        <f aca="false">IF(B7=0,"",(H7-B7)/B7)</f>
        <v>-0.478956579714976</v>
      </c>
    </row>
    <row r="8" customFormat="false" ht="15" hidden="false" customHeight="false" outlineLevel="0" collapsed="false">
      <c r="A8" s="3" t="s">
        <v>38</v>
      </c>
      <c r="B8" s="5" t="n">
        <f aca="false">SUMPRODUCT((Data!$A$2:$A$909=DATE(2026,7,20))*EXACT(Data!$C$2:$C$909,$A8)*Data!$D$2:$D$909)</f>
        <v>34411</v>
      </c>
      <c r="C8" s="5" t="n">
        <f aca="false">SUMPRODUCT((Data!$A$2:$A$909=DATE(2026,7,21))*EXACT(Data!$C$2:$C$909,$A8)*Data!$D$2:$D$909)</f>
        <v>32238</v>
      </c>
      <c r="D8" s="5" t="n">
        <f aca="false">SUMPRODUCT((Data!$A$2:$A$909=DATE(2026,7,22))*EXACT(Data!$C$2:$C$909,$A8)*Data!$D$2:$D$909)</f>
        <v>31038</v>
      </c>
      <c r="E8" s="5" t="n">
        <f aca="false">SUMPRODUCT((Data!$A$2:$A$909=DATE(2026,7,23))*EXACT(Data!$C$2:$C$909,$A8)*Data!$D$2:$D$909)</f>
        <v>33599</v>
      </c>
      <c r="F8" s="5" t="n">
        <f aca="false">SUMPRODUCT((Data!$A$2:$A$909=DATE(2026,7,24))*EXACT(Data!$C$2:$C$909,$A8)*Data!$D$2:$D$909)</f>
        <v>34233</v>
      </c>
      <c r="G8" s="5" t="n">
        <f aca="false">SUMPRODUCT((Data!$A$2:$A$909=DATE(2026,7,25))*EXACT(Data!$C$2:$C$909,$A8)*Data!$D$2:$D$909)</f>
        <v>16263</v>
      </c>
      <c r="H8" s="5" t="n">
        <f aca="false">SUMPRODUCT((Data!$A$2:$A$909=DATE(2026,7,26))*EXACT(Data!$C$2:$C$909,$A8)*Data!$D$2:$D$909)</f>
        <v>14780</v>
      </c>
      <c r="I8" s="6" t="n">
        <f aca="false">SUM(B8:H8)</f>
        <v>196562</v>
      </c>
      <c r="J8" s="7" t="n">
        <f aca="false">IF(B8=0,"",(H8-B8)/B8)</f>
        <v>-0.57048618174421</v>
      </c>
    </row>
    <row r="9" customFormat="false" ht="15" hidden="false" customHeight="false" outlineLevel="0" collapsed="false">
      <c r="A9" s="3" t="s">
        <v>16</v>
      </c>
      <c r="B9" s="5" t="n">
        <f aca="false">SUMPRODUCT((Data!$A$2:$A$909=DATE(2026,7,20))*EXACT(Data!$C$2:$C$909,$A9)*Data!$D$2:$D$909)</f>
        <v>8944</v>
      </c>
      <c r="C9" s="5" t="n">
        <f aca="false">SUMPRODUCT((Data!$A$2:$A$909=DATE(2026,7,21))*EXACT(Data!$C$2:$C$909,$A9)*Data!$D$2:$D$909)</f>
        <v>8831</v>
      </c>
      <c r="D9" s="5" t="n">
        <f aca="false">SUMPRODUCT((Data!$A$2:$A$909=DATE(2026,7,22))*EXACT(Data!$C$2:$C$909,$A9)*Data!$D$2:$D$909)</f>
        <v>7913</v>
      </c>
      <c r="E9" s="5" t="n">
        <f aca="false">SUMPRODUCT((Data!$A$2:$A$909=DATE(2026,7,23))*EXACT(Data!$C$2:$C$909,$A9)*Data!$D$2:$D$909)</f>
        <v>7937</v>
      </c>
      <c r="F9" s="5" t="n">
        <f aca="false">SUMPRODUCT((Data!$A$2:$A$909=DATE(2026,7,24))*EXACT(Data!$C$2:$C$909,$A9)*Data!$D$2:$D$909)</f>
        <v>7925</v>
      </c>
      <c r="G9" s="5" t="n">
        <f aca="false">SUMPRODUCT((Data!$A$2:$A$909=DATE(2026,7,25))*EXACT(Data!$C$2:$C$909,$A9)*Data!$D$2:$D$909)</f>
        <v>3971</v>
      </c>
      <c r="H9" s="5" t="n">
        <f aca="false">SUMPRODUCT((Data!$A$2:$A$909=DATE(2026,7,26))*EXACT(Data!$C$2:$C$909,$A9)*Data!$D$2:$D$909)</f>
        <v>3840</v>
      </c>
      <c r="I9" s="6" t="n">
        <f aca="false">SUM(B9:H9)</f>
        <v>49361</v>
      </c>
      <c r="J9" s="7" t="n">
        <f aca="false">IF(B9=0,"",(H9-B9)/B9)</f>
        <v>-0.570661896243292</v>
      </c>
    </row>
    <row r="10" customFormat="false" ht="15" hidden="false" customHeight="false" outlineLevel="0" collapsed="false">
      <c r="A10" s="3" t="s">
        <v>34</v>
      </c>
      <c r="B10" s="5" t="n">
        <f aca="false">SUMPRODUCT((Data!$A$2:$A$909=DATE(2026,7,20))*EXACT(Data!$C$2:$C$909,$A10)*Data!$D$2:$D$909)</f>
        <v>28126</v>
      </c>
      <c r="C10" s="5" t="n">
        <f aca="false">SUMPRODUCT((Data!$A$2:$A$909=DATE(2026,7,21))*EXACT(Data!$C$2:$C$909,$A10)*Data!$D$2:$D$909)</f>
        <v>26366</v>
      </c>
      <c r="D10" s="5" t="n">
        <f aca="false">SUMPRODUCT((Data!$A$2:$A$909=DATE(2026,7,22))*EXACT(Data!$C$2:$C$909,$A10)*Data!$D$2:$D$909)</f>
        <v>25082</v>
      </c>
      <c r="E10" s="5" t="n">
        <f aca="false">SUMPRODUCT((Data!$A$2:$A$909=DATE(2026,7,23))*EXACT(Data!$C$2:$C$909,$A10)*Data!$D$2:$D$909)</f>
        <v>27255</v>
      </c>
      <c r="F10" s="5" t="n">
        <f aca="false">SUMPRODUCT((Data!$A$2:$A$909=DATE(2026,7,24))*EXACT(Data!$C$2:$C$909,$A10)*Data!$D$2:$D$909)</f>
        <v>28163</v>
      </c>
      <c r="G10" s="5" t="n">
        <f aca="false">SUMPRODUCT((Data!$A$2:$A$909=DATE(2026,7,25))*EXACT(Data!$C$2:$C$909,$A10)*Data!$D$2:$D$909)</f>
        <v>11528</v>
      </c>
      <c r="H10" s="5" t="n">
        <f aca="false">SUMPRODUCT((Data!$A$2:$A$909=DATE(2026,7,26))*EXACT(Data!$C$2:$C$909,$A10)*Data!$D$2:$D$909)</f>
        <v>10545</v>
      </c>
      <c r="I10" s="6" t="n">
        <f aca="false">SUM(B10:H10)</f>
        <v>157065</v>
      </c>
      <c r="J10" s="7" t="n">
        <f aca="false">IF(B10=0,"",(H10-B10)/B10)</f>
        <v>-0.625079997155657</v>
      </c>
    </row>
    <row r="11" customFormat="false" ht="15" hidden="false" customHeight="false" outlineLevel="0" collapsed="false">
      <c r="A11" s="3" t="s">
        <v>33</v>
      </c>
      <c r="B11" s="5" t="n">
        <f aca="false">SUMPRODUCT((Data!$A$2:$A$909=DATE(2026,7,20))*EXACT(Data!$C$2:$C$909,$A11)*Data!$D$2:$D$909)</f>
        <v>33229</v>
      </c>
      <c r="C11" s="5" t="n">
        <f aca="false">SUMPRODUCT((Data!$A$2:$A$909=DATE(2026,7,21))*EXACT(Data!$C$2:$C$909,$A11)*Data!$D$2:$D$909)</f>
        <v>30970</v>
      </c>
      <c r="D11" s="5" t="n">
        <f aca="false">SUMPRODUCT((Data!$A$2:$A$909=DATE(2026,7,22))*EXACT(Data!$C$2:$C$909,$A11)*Data!$D$2:$D$909)</f>
        <v>28959</v>
      </c>
      <c r="E11" s="5" t="n">
        <f aca="false">SUMPRODUCT((Data!$A$2:$A$909=DATE(2026,7,23))*EXACT(Data!$C$2:$C$909,$A11)*Data!$D$2:$D$909)</f>
        <v>30930</v>
      </c>
      <c r="F11" s="5" t="n">
        <f aca="false">SUMPRODUCT((Data!$A$2:$A$909=DATE(2026,7,24))*EXACT(Data!$C$2:$C$909,$A11)*Data!$D$2:$D$909)</f>
        <v>31677</v>
      </c>
      <c r="G11" s="5" t="n">
        <f aca="false">SUMPRODUCT((Data!$A$2:$A$909=DATE(2026,7,25))*EXACT(Data!$C$2:$C$909,$A11)*Data!$D$2:$D$909)</f>
        <v>13717</v>
      </c>
      <c r="H11" s="5" t="n">
        <f aca="false">SUMPRODUCT((Data!$A$2:$A$909=DATE(2026,7,26))*EXACT(Data!$C$2:$C$909,$A11)*Data!$D$2:$D$909)</f>
        <v>12445</v>
      </c>
      <c r="I11" s="6" t="n">
        <f aca="false">SUM(B11:H11)</f>
        <v>181927</v>
      </c>
      <c r="J11" s="7" t="n">
        <f aca="false">IF(B11=0,"",(H11-B11)/B11)</f>
        <v>-0.625477745342923</v>
      </c>
    </row>
    <row r="12" customFormat="false" ht="15" hidden="false" customHeight="false" outlineLevel="0" collapsed="false">
      <c r="A12" s="3" t="s">
        <v>32</v>
      </c>
      <c r="B12" s="5" t="n">
        <f aca="false">SUMPRODUCT((Data!$A$2:$A$909=DATE(2026,7,20))*EXACT(Data!$C$2:$C$909,$A12)*Data!$D$2:$D$909)</f>
        <v>5113</v>
      </c>
      <c r="C12" s="5" t="n">
        <f aca="false">SUMPRODUCT((Data!$A$2:$A$909=DATE(2026,7,21))*EXACT(Data!$C$2:$C$909,$A12)*Data!$D$2:$D$909)</f>
        <v>4612</v>
      </c>
      <c r="D12" s="5" t="n">
        <f aca="false">SUMPRODUCT((Data!$A$2:$A$909=DATE(2026,7,22))*EXACT(Data!$C$2:$C$909,$A12)*Data!$D$2:$D$909)</f>
        <v>3880</v>
      </c>
      <c r="E12" s="5" t="n">
        <f aca="false">SUMPRODUCT((Data!$A$2:$A$909=DATE(2026,7,23))*EXACT(Data!$C$2:$C$909,$A12)*Data!$D$2:$D$909)</f>
        <v>3678</v>
      </c>
      <c r="F12" s="5" t="n">
        <f aca="false">SUMPRODUCT((Data!$A$2:$A$909=DATE(2026,7,24))*EXACT(Data!$C$2:$C$909,$A12)*Data!$D$2:$D$909)</f>
        <v>3527</v>
      </c>
      <c r="G12" s="5" t="n">
        <f aca="false">SUMPRODUCT((Data!$A$2:$A$909=DATE(2026,7,25))*EXACT(Data!$C$2:$C$909,$A12)*Data!$D$2:$D$909)</f>
        <v>2196</v>
      </c>
      <c r="H12" s="5" t="n">
        <f aca="false">SUMPRODUCT((Data!$A$2:$A$909=DATE(2026,7,26))*EXACT(Data!$C$2:$C$909,$A12)*Data!$D$2:$D$909)</f>
        <v>1901</v>
      </c>
      <c r="I12" s="6" t="n">
        <f aca="false">SUM(B12:H12)</f>
        <v>24907</v>
      </c>
      <c r="J12" s="7" t="n">
        <f aca="false">IF(B12=0,"",(H12-B12)/B12)</f>
        <v>-0.628202620770585</v>
      </c>
    </row>
    <row r="13" customFormat="false" ht="15" hidden="false" customHeight="false" outlineLevel="0" collapsed="false">
      <c r="A13" s="3" t="s">
        <v>14</v>
      </c>
      <c r="B13" s="5" t="n">
        <f aca="false">SUMPRODUCT((Data!$A$2:$A$909=DATE(2026,7,20))*EXACT(Data!$C$2:$C$909,$A13)*Data!$D$2:$D$909)</f>
        <v>24399</v>
      </c>
      <c r="C13" s="5" t="n">
        <f aca="false">SUMPRODUCT((Data!$A$2:$A$909=DATE(2026,7,21))*EXACT(Data!$C$2:$C$909,$A13)*Data!$D$2:$D$909)</f>
        <v>22101</v>
      </c>
      <c r="D13" s="5" t="n">
        <f aca="false">SUMPRODUCT((Data!$A$2:$A$909=DATE(2026,7,22))*EXACT(Data!$C$2:$C$909,$A13)*Data!$D$2:$D$909)</f>
        <v>20748</v>
      </c>
      <c r="E13" s="5" t="n">
        <f aca="false">SUMPRODUCT((Data!$A$2:$A$909=DATE(2026,7,23))*EXACT(Data!$C$2:$C$909,$A13)*Data!$D$2:$D$909)</f>
        <v>23169</v>
      </c>
      <c r="F13" s="5" t="n">
        <f aca="false">SUMPRODUCT((Data!$A$2:$A$909=DATE(2026,7,24))*EXACT(Data!$C$2:$C$909,$A13)*Data!$D$2:$D$909)</f>
        <v>24312</v>
      </c>
      <c r="G13" s="5" t="n">
        <f aca="false">SUMPRODUCT((Data!$A$2:$A$909=DATE(2026,7,25))*EXACT(Data!$C$2:$C$909,$A13)*Data!$D$2:$D$909)</f>
        <v>8704</v>
      </c>
      <c r="H13" s="5" t="n">
        <f aca="false">SUMPRODUCT((Data!$A$2:$A$909=DATE(2026,7,26))*EXACT(Data!$C$2:$C$909,$A13)*Data!$D$2:$D$909)</f>
        <v>7753</v>
      </c>
      <c r="I13" s="6" t="n">
        <f aca="false">SUM(B13:H13)</f>
        <v>131186</v>
      </c>
      <c r="J13" s="7" t="n">
        <f aca="false">IF(B13=0,"",(H13-B13)/B13)</f>
        <v>-0.682241075453912</v>
      </c>
    </row>
    <row r="14" customFormat="false" ht="15" hidden="false" customHeight="false" outlineLevel="0" collapsed="false">
      <c r="A14" s="3" t="s">
        <v>11</v>
      </c>
      <c r="B14" s="5" t="n">
        <f aca="false">SUMPRODUCT((Data!$A$2:$A$909=DATE(2026,7,20))*EXACT(Data!$C$2:$C$909,$A14)*Data!$D$2:$D$909)</f>
        <v>115552</v>
      </c>
      <c r="C14" s="5" t="n">
        <f aca="false">SUMPRODUCT((Data!$A$2:$A$909=DATE(2026,7,21))*EXACT(Data!$C$2:$C$909,$A14)*Data!$D$2:$D$909)</f>
        <v>113089</v>
      </c>
      <c r="D14" s="5" t="n">
        <f aca="false">SUMPRODUCT((Data!$A$2:$A$909=DATE(2026,7,22))*EXACT(Data!$C$2:$C$909,$A14)*Data!$D$2:$D$909)</f>
        <v>99012</v>
      </c>
      <c r="E14" s="5" t="n">
        <f aca="false">SUMPRODUCT((Data!$A$2:$A$909=DATE(2026,7,23))*EXACT(Data!$C$2:$C$909,$A14)*Data!$D$2:$D$909)</f>
        <v>134199</v>
      </c>
      <c r="F14" s="5" t="n">
        <f aca="false">SUMPRODUCT((Data!$A$2:$A$909=DATE(2026,7,24))*EXACT(Data!$C$2:$C$909,$A14)*Data!$D$2:$D$909)</f>
        <v>132360</v>
      </c>
      <c r="G14" s="5" t="n">
        <f aca="false">SUMPRODUCT((Data!$A$2:$A$909=DATE(2026,7,25))*EXACT(Data!$C$2:$C$909,$A14)*Data!$D$2:$D$909)</f>
        <v>36573</v>
      </c>
      <c r="H14" s="5" t="n">
        <f aca="false">SUMPRODUCT((Data!$A$2:$A$909=DATE(2026,7,26))*EXACT(Data!$C$2:$C$909,$A14)*Data!$D$2:$D$909)</f>
        <v>34418</v>
      </c>
      <c r="I14" s="6" t="n">
        <f aca="false">SUM(B14:H14)</f>
        <v>665203</v>
      </c>
      <c r="J14" s="7" t="n">
        <f aca="false">IF(B14=0,"",(H14-B14)/B14)</f>
        <v>-0.702142758238715</v>
      </c>
    </row>
    <row r="15" customFormat="false" ht="15" hidden="false" customHeight="false" outlineLevel="0" collapsed="false">
      <c r="A15" s="3" t="s">
        <v>37</v>
      </c>
      <c r="B15" s="5" t="n">
        <f aca="false">SUMPRODUCT((Data!$A$2:$A$909=DATE(2026,7,20))*EXACT(Data!$C$2:$C$909,$A15)*Data!$D$2:$D$909)</f>
        <v>987</v>
      </c>
      <c r="C15" s="5" t="n">
        <f aca="false">SUMPRODUCT((Data!$A$2:$A$909=DATE(2026,7,21))*EXACT(Data!$C$2:$C$909,$A15)*Data!$D$2:$D$909)</f>
        <v>826</v>
      </c>
      <c r="D15" s="5" t="n">
        <f aca="false">SUMPRODUCT((Data!$A$2:$A$909=DATE(2026,7,22))*EXACT(Data!$C$2:$C$909,$A15)*Data!$D$2:$D$909)</f>
        <v>849</v>
      </c>
      <c r="E15" s="5" t="n">
        <f aca="false">SUMPRODUCT((Data!$A$2:$A$909=DATE(2026,7,23))*EXACT(Data!$C$2:$C$909,$A15)*Data!$D$2:$D$909)</f>
        <v>833</v>
      </c>
      <c r="F15" s="5" t="n">
        <f aca="false">SUMPRODUCT((Data!$A$2:$A$909=DATE(2026,7,24))*EXACT(Data!$C$2:$C$909,$A15)*Data!$D$2:$D$909)</f>
        <v>848</v>
      </c>
      <c r="G15" s="5" t="n">
        <f aca="false">SUMPRODUCT((Data!$A$2:$A$909=DATE(2026,7,25))*EXACT(Data!$C$2:$C$909,$A15)*Data!$D$2:$D$909)</f>
        <v>225</v>
      </c>
      <c r="H15" s="5" t="n">
        <f aca="false">SUMPRODUCT((Data!$A$2:$A$909=DATE(2026,7,26))*EXACT(Data!$C$2:$C$909,$A15)*Data!$D$2:$D$909)</f>
        <v>244</v>
      </c>
      <c r="I15" s="6" t="n">
        <f aca="false">SUM(B15:H15)</f>
        <v>4812</v>
      </c>
      <c r="J15" s="7" t="n">
        <f aca="false">IF(B15=0,"",(H15-B15)/B15)</f>
        <v>-0.752786220871327</v>
      </c>
    </row>
    <row r="16" customFormat="false" ht="15" hidden="false" customHeight="false" outlineLevel="0" collapsed="false">
      <c r="A16" s="3" t="s">
        <v>8</v>
      </c>
      <c r="B16" s="5" t="n">
        <f aca="false">SUMPRODUCT((Data!$A$2:$A$909=DATE(2026,7,20))*EXACT(Data!$C$2:$C$909,$A16)*Data!$D$2:$D$909)</f>
        <v>511</v>
      </c>
      <c r="C16" s="5" t="n">
        <f aca="false">SUMPRODUCT((Data!$A$2:$A$909=DATE(2026,7,21))*EXACT(Data!$C$2:$C$909,$A16)*Data!$D$2:$D$909)</f>
        <v>460</v>
      </c>
      <c r="D16" s="5" t="n">
        <f aca="false">SUMPRODUCT((Data!$A$2:$A$909=DATE(2026,7,22))*EXACT(Data!$C$2:$C$909,$A16)*Data!$D$2:$D$909)</f>
        <v>455</v>
      </c>
      <c r="E16" s="5" t="n">
        <f aca="false">SUMPRODUCT((Data!$A$2:$A$909=DATE(2026,7,23))*EXACT(Data!$C$2:$C$909,$A16)*Data!$D$2:$D$909)</f>
        <v>427</v>
      </c>
      <c r="F16" s="5" t="n">
        <f aca="false">SUMPRODUCT((Data!$A$2:$A$909=DATE(2026,7,24))*EXACT(Data!$C$2:$C$909,$A16)*Data!$D$2:$D$909)</f>
        <v>617</v>
      </c>
      <c r="G16" s="5" t="n">
        <f aca="false">SUMPRODUCT((Data!$A$2:$A$909=DATE(2026,7,25))*EXACT(Data!$C$2:$C$909,$A16)*Data!$D$2:$D$909)</f>
        <v>65</v>
      </c>
      <c r="H16" s="5" t="n">
        <f aca="false">SUMPRODUCT((Data!$A$2:$A$909=DATE(2026,7,26))*EXACT(Data!$C$2:$C$909,$A16)*Data!$D$2:$D$909)</f>
        <v>102</v>
      </c>
      <c r="I16" s="6" t="n">
        <f aca="false">SUM(B16:H16)</f>
        <v>2637</v>
      </c>
      <c r="J16" s="7" t="n">
        <f aca="false">IF(B16=0,"",(H16-B16)/B16)</f>
        <v>-0.800391389432485</v>
      </c>
    </row>
    <row r="17" customFormat="false" ht="15" hidden="false" customHeight="false" outlineLevel="0" collapsed="false">
      <c r="A17" s="3" t="s">
        <v>42</v>
      </c>
      <c r="B17" s="5" t="n">
        <f aca="false">SUMPRODUCT((Data!$A$2:$A$909=DATE(2026,7,20))*EXACT(Data!$C$2:$C$909,$A17)*Data!$D$2:$D$909)</f>
        <v>11</v>
      </c>
      <c r="C17" s="5" t="n">
        <f aca="false">SUMPRODUCT((Data!$A$2:$A$909=DATE(2026,7,21))*EXACT(Data!$C$2:$C$909,$A17)*Data!$D$2:$D$909)</f>
        <v>4</v>
      </c>
      <c r="D17" s="5" t="n">
        <f aca="false">SUMPRODUCT((Data!$A$2:$A$909=DATE(2026,7,22))*EXACT(Data!$C$2:$C$909,$A17)*Data!$D$2:$D$909)</f>
        <v>10</v>
      </c>
      <c r="E17" s="5" t="n">
        <f aca="false">SUMPRODUCT((Data!$A$2:$A$909=DATE(2026,7,23))*EXACT(Data!$C$2:$C$909,$A17)*Data!$D$2:$D$909)</f>
        <v>12</v>
      </c>
      <c r="F17" s="5" t="n">
        <f aca="false">SUMPRODUCT((Data!$A$2:$A$909=DATE(2026,7,24))*EXACT(Data!$C$2:$C$909,$A17)*Data!$D$2:$D$909)</f>
        <v>6</v>
      </c>
      <c r="G17" s="5" t="n">
        <f aca="false">SUMPRODUCT((Data!$A$2:$A$909=DATE(2026,7,25))*EXACT(Data!$C$2:$C$909,$A17)*Data!$D$2:$D$909)</f>
        <v>13</v>
      </c>
      <c r="H17" s="5" t="n">
        <f aca="false">SUMPRODUCT((Data!$A$2:$A$909=DATE(2026,7,26))*EXACT(Data!$C$2:$C$909,$A17)*Data!$D$2:$D$909)</f>
        <v>2</v>
      </c>
      <c r="I17" s="6" t="n">
        <f aca="false">SUM(B17:H17)</f>
        <v>58</v>
      </c>
      <c r="J17" s="7" t="n">
        <f aca="false">IF(B17=0,"",(H17-B17)/B17)</f>
        <v>-0.818181818181818</v>
      </c>
    </row>
    <row r="18" customFormat="false" ht="15" hidden="false" customHeight="false" outlineLevel="0" collapsed="false">
      <c r="A18" s="3" t="s">
        <v>24</v>
      </c>
      <c r="B18" s="5" t="n">
        <f aca="false">SUMPRODUCT((Data!$A$2:$A$909=DATE(2026,7,20))*EXACT(Data!$C$2:$C$909,$A18)*Data!$D$2:$D$909)</f>
        <v>150</v>
      </c>
      <c r="C18" s="5" t="n">
        <f aca="false">SUMPRODUCT((Data!$A$2:$A$909=DATE(2026,7,21))*EXACT(Data!$C$2:$C$909,$A18)*Data!$D$2:$D$909)</f>
        <v>138</v>
      </c>
      <c r="D18" s="5" t="n">
        <f aca="false">SUMPRODUCT((Data!$A$2:$A$909=DATE(2026,7,22))*EXACT(Data!$C$2:$C$909,$A18)*Data!$D$2:$D$909)</f>
        <v>174</v>
      </c>
      <c r="E18" s="5" t="n">
        <f aca="false">SUMPRODUCT((Data!$A$2:$A$909=DATE(2026,7,23))*EXACT(Data!$C$2:$C$909,$A18)*Data!$D$2:$D$909)</f>
        <v>126</v>
      </c>
      <c r="F18" s="5" t="n">
        <f aca="false">SUMPRODUCT((Data!$A$2:$A$909=DATE(2026,7,24))*EXACT(Data!$C$2:$C$909,$A18)*Data!$D$2:$D$909)</f>
        <v>150</v>
      </c>
      <c r="G18" s="5" t="n">
        <f aca="false">SUMPRODUCT((Data!$A$2:$A$909=DATE(2026,7,25))*EXACT(Data!$C$2:$C$909,$A18)*Data!$D$2:$D$909)</f>
        <v>24</v>
      </c>
      <c r="H18" s="5" t="n">
        <f aca="false">SUMPRODUCT((Data!$A$2:$A$909=DATE(2026,7,26))*EXACT(Data!$C$2:$C$909,$A18)*Data!$D$2:$D$909)</f>
        <v>20</v>
      </c>
      <c r="I18" s="6" t="n">
        <f aca="false">SUM(B18:H18)</f>
        <v>782</v>
      </c>
      <c r="J18" s="7" t="n">
        <f aca="false">IF(B18=0,"",(H18-B18)/B18)</f>
        <v>-0.866666666666667</v>
      </c>
    </row>
    <row r="19" customFormat="false" ht="15" hidden="false" customHeight="false" outlineLevel="0" collapsed="false">
      <c r="A19" s="3" t="s">
        <v>21</v>
      </c>
      <c r="B19" s="5" t="n">
        <f aca="false">SUMPRODUCT((Data!$A$2:$A$909=DATE(2026,7,20))*EXACT(Data!$C$2:$C$909,$A19)*Data!$D$2:$D$909)</f>
        <v>116</v>
      </c>
      <c r="C19" s="5" t="n">
        <f aca="false">SUMPRODUCT((Data!$A$2:$A$909=DATE(2026,7,21))*EXACT(Data!$C$2:$C$909,$A19)*Data!$D$2:$D$909)</f>
        <v>131</v>
      </c>
      <c r="D19" s="5" t="n">
        <f aca="false">SUMPRODUCT((Data!$A$2:$A$909=DATE(2026,7,22))*EXACT(Data!$C$2:$C$909,$A19)*Data!$D$2:$D$909)</f>
        <v>116</v>
      </c>
      <c r="E19" s="5" t="n">
        <f aca="false">SUMPRODUCT((Data!$A$2:$A$909=DATE(2026,7,23))*EXACT(Data!$C$2:$C$909,$A19)*Data!$D$2:$D$909)</f>
        <v>140</v>
      </c>
      <c r="F19" s="5" t="n">
        <f aca="false">SUMPRODUCT((Data!$A$2:$A$909=DATE(2026,7,24))*EXACT(Data!$C$2:$C$909,$A19)*Data!$D$2:$D$909)</f>
        <v>104</v>
      </c>
      <c r="G19" s="5" t="n">
        <f aca="false">SUMPRODUCT((Data!$A$2:$A$909=DATE(2026,7,25))*EXACT(Data!$C$2:$C$909,$A19)*Data!$D$2:$D$909)</f>
        <v>22</v>
      </c>
      <c r="H19" s="5" t="n">
        <f aca="false">SUMPRODUCT((Data!$A$2:$A$909=DATE(2026,7,26))*EXACT(Data!$C$2:$C$909,$A19)*Data!$D$2:$D$909)</f>
        <v>13</v>
      </c>
      <c r="I19" s="6" t="n">
        <f aca="false">SUM(B19:H19)</f>
        <v>642</v>
      </c>
      <c r="J19" s="7" t="n">
        <f aca="false">IF(B19=0,"",(H19-B19)/B19)</f>
        <v>-0.887931034482759</v>
      </c>
    </row>
    <row r="20" customFormat="false" ht="15" hidden="false" customHeight="false" outlineLevel="0" collapsed="false">
      <c r="A20" s="3" t="s">
        <v>78</v>
      </c>
      <c r="B20" s="5" t="n">
        <f aca="false">SUMPRODUCT((Data!$A$2:$A$909=DATE(2026,7,20))*EXACT(Data!$C$2:$C$909,$A20)*Data!$D$2:$D$909)</f>
        <v>610</v>
      </c>
      <c r="C20" s="5" t="n">
        <f aca="false">SUMPRODUCT((Data!$A$2:$A$909=DATE(2026,7,21))*EXACT(Data!$C$2:$C$909,$A20)*Data!$D$2:$D$909)</f>
        <v>536</v>
      </c>
      <c r="D20" s="5" t="n">
        <f aca="false">SUMPRODUCT((Data!$A$2:$A$909=DATE(2026,7,22))*EXACT(Data!$C$2:$C$909,$A20)*Data!$D$2:$D$909)</f>
        <v>620</v>
      </c>
      <c r="E20" s="5" t="n">
        <f aca="false">SUMPRODUCT((Data!$A$2:$A$909=DATE(2026,7,23))*EXACT(Data!$C$2:$C$909,$A20)*Data!$D$2:$D$909)</f>
        <v>406</v>
      </c>
      <c r="F20" s="5" t="n">
        <f aca="false">SUMPRODUCT((Data!$A$2:$A$909=DATE(2026,7,24))*EXACT(Data!$C$2:$C$909,$A20)*Data!$D$2:$D$909)</f>
        <v>372</v>
      </c>
      <c r="G20" s="5" t="n">
        <f aca="false">SUMPRODUCT((Data!$A$2:$A$909=DATE(2026,7,25))*EXACT(Data!$C$2:$C$909,$A20)*Data!$D$2:$D$909)</f>
        <v>42</v>
      </c>
      <c r="H20" s="5" t="n">
        <f aca="false">SUMPRODUCT((Data!$A$2:$A$909=DATE(2026,7,26))*EXACT(Data!$C$2:$C$909,$A20)*Data!$D$2:$D$909)</f>
        <v>60</v>
      </c>
      <c r="I20" s="6" t="n">
        <f aca="false">SUM(B20:H20)</f>
        <v>2646</v>
      </c>
      <c r="J20" s="7" t="n">
        <f aca="false">IF(B20=0,"",(H20-B20)/B20)</f>
        <v>-0.901639344262295</v>
      </c>
    </row>
    <row r="21" customFormat="false" ht="15" hidden="false" customHeight="false" outlineLevel="0" collapsed="false">
      <c r="A21" s="3" t="s">
        <v>23</v>
      </c>
      <c r="B21" s="5" t="n">
        <f aca="false">SUMPRODUCT((Data!$A$2:$A$909=DATE(2026,7,20))*EXACT(Data!$C$2:$C$909,$A21)*Data!$D$2:$D$909)</f>
        <v>508</v>
      </c>
      <c r="C21" s="5" t="n">
        <f aca="false">SUMPRODUCT((Data!$A$2:$A$909=DATE(2026,7,21))*EXACT(Data!$C$2:$C$909,$A21)*Data!$D$2:$D$909)</f>
        <v>470</v>
      </c>
      <c r="D21" s="5" t="n">
        <f aca="false">SUMPRODUCT((Data!$A$2:$A$909=DATE(2026,7,22))*EXACT(Data!$C$2:$C$909,$A21)*Data!$D$2:$D$909)</f>
        <v>606</v>
      </c>
      <c r="E21" s="5" t="n">
        <f aca="false">SUMPRODUCT((Data!$A$2:$A$909=DATE(2026,7,23))*EXACT(Data!$C$2:$C$909,$A21)*Data!$D$2:$D$909)</f>
        <v>444</v>
      </c>
      <c r="F21" s="5" t="n">
        <f aca="false">SUMPRODUCT((Data!$A$2:$A$909=DATE(2026,7,24))*EXACT(Data!$C$2:$C$909,$A21)*Data!$D$2:$D$909)</f>
        <v>472</v>
      </c>
      <c r="G21" s="5" t="n">
        <f aca="false">SUMPRODUCT((Data!$A$2:$A$909=DATE(2026,7,25))*EXACT(Data!$C$2:$C$909,$A21)*Data!$D$2:$D$909)</f>
        <v>26</v>
      </c>
      <c r="H21" s="5" t="n">
        <f aca="false">SUMPRODUCT((Data!$A$2:$A$909=DATE(2026,7,26))*EXACT(Data!$C$2:$C$909,$A21)*Data!$D$2:$D$909)</f>
        <v>46</v>
      </c>
      <c r="I21" s="6" t="n">
        <f aca="false">SUM(B21:H21)</f>
        <v>2572</v>
      </c>
      <c r="J21" s="7" t="n">
        <f aca="false">IF(B21=0,"",(H21-B21)/B21)</f>
        <v>-0.909448818897638</v>
      </c>
    </row>
    <row r="22" customFormat="false" ht="15" hidden="false" customHeight="false" outlineLevel="0" collapsed="false">
      <c r="A22" s="3" t="s">
        <v>28</v>
      </c>
      <c r="B22" s="5" t="n">
        <f aca="false">SUMPRODUCT((Data!$A$2:$A$909=DATE(2026,7,20))*EXACT(Data!$C$2:$C$909,$A22)*Data!$D$2:$D$909)</f>
        <v>176</v>
      </c>
      <c r="C22" s="5" t="n">
        <f aca="false">SUMPRODUCT((Data!$A$2:$A$909=DATE(2026,7,21))*EXACT(Data!$C$2:$C$909,$A22)*Data!$D$2:$D$909)</f>
        <v>217</v>
      </c>
      <c r="D22" s="5" t="n">
        <f aca="false">SUMPRODUCT((Data!$A$2:$A$909=DATE(2026,7,22))*EXACT(Data!$C$2:$C$909,$A22)*Data!$D$2:$D$909)</f>
        <v>200</v>
      </c>
      <c r="E22" s="5" t="n">
        <f aca="false">SUMPRODUCT((Data!$A$2:$A$909=DATE(2026,7,23))*EXACT(Data!$C$2:$C$909,$A22)*Data!$D$2:$D$909)</f>
        <v>168</v>
      </c>
      <c r="F22" s="5" t="n">
        <f aca="false">SUMPRODUCT((Data!$A$2:$A$909=DATE(2026,7,24))*EXACT(Data!$C$2:$C$909,$A22)*Data!$D$2:$D$909)</f>
        <v>214</v>
      </c>
      <c r="G22" s="5" t="n">
        <f aca="false">SUMPRODUCT((Data!$A$2:$A$909=DATE(2026,7,25))*EXACT(Data!$C$2:$C$909,$A22)*Data!$D$2:$D$909)</f>
        <v>12</v>
      </c>
      <c r="H22" s="5" t="n">
        <f aca="false">SUMPRODUCT((Data!$A$2:$A$909=DATE(2026,7,26))*EXACT(Data!$C$2:$C$909,$A22)*Data!$D$2:$D$909)</f>
        <v>15</v>
      </c>
      <c r="I22" s="6" t="n">
        <f aca="false">SUM(B22:H22)</f>
        <v>1002</v>
      </c>
      <c r="J22" s="7" t="n">
        <f aca="false">IF(B22=0,"",(H22-B22)/B22)</f>
        <v>-0.914772727272727</v>
      </c>
    </row>
    <row r="23" customFormat="false" ht="15" hidden="false" customHeight="false" outlineLevel="0" collapsed="false">
      <c r="A23" s="3" t="s">
        <v>35</v>
      </c>
      <c r="B23" s="5" t="n">
        <f aca="false">SUMPRODUCT((Data!$A$2:$A$909=DATE(2026,7,20))*EXACT(Data!$C$2:$C$909,$A23)*Data!$D$2:$D$909)</f>
        <v>2084</v>
      </c>
      <c r="C23" s="5" t="n">
        <f aca="false">SUMPRODUCT((Data!$A$2:$A$909=DATE(2026,7,21))*EXACT(Data!$C$2:$C$909,$A23)*Data!$D$2:$D$909)</f>
        <v>6264</v>
      </c>
      <c r="D23" s="5" t="n">
        <f aca="false">SUMPRODUCT((Data!$A$2:$A$909=DATE(2026,7,22))*EXACT(Data!$C$2:$C$909,$A23)*Data!$D$2:$D$909)</f>
        <v>1754</v>
      </c>
      <c r="E23" s="5" t="n">
        <f aca="false">SUMPRODUCT((Data!$A$2:$A$909=DATE(2026,7,23))*EXACT(Data!$C$2:$C$909,$A23)*Data!$D$2:$D$909)</f>
        <v>2034</v>
      </c>
      <c r="F23" s="5" t="n">
        <f aca="false">SUMPRODUCT((Data!$A$2:$A$909=DATE(2026,7,24))*EXACT(Data!$C$2:$C$909,$A23)*Data!$D$2:$D$909)</f>
        <v>722</v>
      </c>
      <c r="G23" s="5" t="n">
        <f aca="false">SUMPRODUCT((Data!$A$2:$A$909=DATE(2026,7,25))*EXACT(Data!$C$2:$C$909,$A23)*Data!$D$2:$D$909)</f>
        <v>8</v>
      </c>
      <c r="H23" s="5" t="n">
        <f aca="false">SUMPRODUCT((Data!$A$2:$A$909=DATE(2026,7,26))*EXACT(Data!$C$2:$C$909,$A23)*Data!$D$2:$D$909)</f>
        <v>120</v>
      </c>
      <c r="I23" s="6" t="n">
        <f aca="false">SUM(B23:H23)</f>
        <v>12986</v>
      </c>
      <c r="J23" s="7" t="n">
        <f aca="false">IF(B23=0,"",(H23-B23)/B23)</f>
        <v>-0.942418426103647</v>
      </c>
    </row>
    <row r="24" customFormat="false" ht="15" hidden="false" customHeight="false" outlineLevel="0" collapsed="false">
      <c r="A24" s="3" t="s">
        <v>26</v>
      </c>
      <c r="B24" s="5" t="n">
        <f aca="false">SUMPRODUCT((Data!$A$2:$A$909=DATE(2026,7,20))*EXACT(Data!$C$2:$C$909,$A24)*Data!$D$2:$D$909)</f>
        <v>217</v>
      </c>
      <c r="C24" s="5" t="n">
        <f aca="false">SUMPRODUCT((Data!$A$2:$A$909=DATE(2026,7,21))*EXACT(Data!$C$2:$C$909,$A24)*Data!$D$2:$D$909)</f>
        <v>223</v>
      </c>
      <c r="D24" s="5" t="n">
        <f aca="false">SUMPRODUCT((Data!$A$2:$A$909=DATE(2026,7,22))*EXACT(Data!$C$2:$C$909,$A24)*Data!$D$2:$D$909)</f>
        <v>205</v>
      </c>
      <c r="E24" s="5" t="n">
        <f aca="false">SUMPRODUCT((Data!$A$2:$A$909=DATE(2026,7,23))*EXACT(Data!$C$2:$C$909,$A24)*Data!$D$2:$D$909)</f>
        <v>201</v>
      </c>
      <c r="F24" s="5" t="n">
        <f aca="false">SUMPRODUCT((Data!$A$2:$A$909=DATE(2026,7,24))*EXACT(Data!$C$2:$C$909,$A24)*Data!$D$2:$D$909)</f>
        <v>229</v>
      </c>
      <c r="G24" s="5" t="n">
        <f aca="false">SUMPRODUCT((Data!$A$2:$A$909=DATE(2026,7,25))*EXACT(Data!$C$2:$C$909,$A24)*Data!$D$2:$D$909)</f>
        <v>19</v>
      </c>
      <c r="H24" s="5" t="n">
        <f aca="false">SUMPRODUCT((Data!$A$2:$A$909=DATE(2026,7,26))*EXACT(Data!$C$2:$C$909,$A24)*Data!$D$2:$D$909)</f>
        <v>10</v>
      </c>
      <c r="I24" s="6" t="n">
        <f aca="false">SUM(B24:H24)</f>
        <v>1104</v>
      </c>
      <c r="J24" s="7" t="n">
        <f aca="false">IF(B24=0,"",(H24-B24)/B24)</f>
        <v>-0.953917050691244</v>
      </c>
    </row>
    <row r="25" customFormat="false" ht="15" hidden="false" customHeight="false" outlineLevel="0" collapsed="false">
      <c r="A25" s="3" t="s">
        <v>87</v>
      </c>
      <c r="B25" s="5" t="n">
        <f aca="false">SUMPRODUCT((Data!$A$2:$A$909=DATE(2026,7,20))*EXACT(Data!$C$2:$C$909,$A25)*Data!$D$2:$D$909)</f>
        <v>3</v>
      </c>
      <c r="C25" s="5" t="n">
        <f aca="false">SUMPRODUCT((Data!$A$2:$A$909=DATE(2026,7,21))*EXACT(Data!$C$2:$C$909,$A25)*Data!$D$2:$D$909)</f>
        <v>0</v>
      </c>
      <c r="D25" s="5" t="n">
        <f aca="false">SUMPRODUCT((Data!$A$2:$A$909=DATE(2026,7,22))*EXACT(Data!$C$2:$C$909,$A25)*Data!$D$2:$D$909)</f>
        <v>0</v>
      </c>
      <c r="E25" s="5" t="n">
        <f aca="false">SUMPRODUCT((Data!$A$2:$A$909=DATE(2026,7,23))*EXACT(Data!$C$2:$C$909,$A25)*Data!$D$2:$D$909)</f>
        <v>0</v>
      </c>
      <c r="F25" s="5" t="n">
        <f aca="false">SUMPRODUCT((Data!$A$2:$A$909=DATE(2026,7,24))*EXACT(Data!$C$2:$C$909,$A25)*Data!$D$2:$D$909)</f>
        <v>0</v>
      </c>
      <c r="G25" s="5" t="n">
        <f aca="false">SUMPRODUCT((Data!$A$2:$A$909=DATE(2026,7,25))*EXACT(Data!$C$2:$C$909,$A25)*Data!$D$2:$D$909)</f>
        <v>0</v>
      </c>
      <c r="H25" s="5" t="n">
        <f aca="false">SUMPRODUCT((Data!$A$2:$A$909=DATE(2026,7,26))*EXACT(Data!$C$2:$C$909,$A25)*Data!$D$2:$D$909)</f>
        <v>0</v>
      </c>
      <c r="I25" s="6" t="n">
        <f aca="false">SUM(B25:H25)</f>
        <v>3</v>
      </c>
      <c r="J25" s="7" t="n">
        <f aca="false">IF(B25=0,"",(H25-B25)/B25)</f>
        <v>-1</v>
      </c>
    </row>
    <row r="26" customFormat="false" ht="15" hidden="false" customHeight="false" outlineLevel="0" collapsed="false">
      <c r="A26" s="3" t="s">
        <v>88</v>
      </c>
      <c r="B26" s="5" t="n">
        <f aca="false">SUMPRODUCT((Data!$A$2:$A$909=DATE(2026,7,20))*EXACT(Data!$C$2:$C$909,$A26)*Data!$D$2:$D$909)</f>
        <v>1</v>
      </c>
      <c r="C26" s="5" t="n">
        <f aca="false">SUMPRODUCT((Data!$A$2:$A$909=DATE(2026,7,21))*EXACT(Data!$C$2:$C$909,$A26)*Data!$D$2:$D$909)</f>
        <v>1</v>
      </c>
      <c r="D26" s="5" t="n">
        <f aca="false">SUMPRODUCT((Data!$A$2:$A$909=DATE(2026,7,22))*EXACT(Data!$C$2:$C$909,$A26)*Data!$D$2:$D$909)</f>
        <v>0</v>
      </c>
      <c r="E26" s="5" t="n">
        <f aca="false">SUMPRODUCT((Data!$A$2:$A$909=DATE(2026,7,23))*EXACT(Data!$C$2:$C$909,$A26)*Data!$D$2:$D$909)</f>
        <v>0</v>
      </c>
      <c r="F26" s="5" t="n">
        <f aca="false">SUMPRODUCT((Data!$A$2:$A$909=DATE(2026,7,24))*EXACT(Data!$C$2:$C$909,$A26)*Data!$D$2:$D$909)</f>
        <v>0</v>
      </c>
      <c r="G26" s="5" t="n">
        <f aca="false">SUMPRODUCT((Data!$A$2:$A$909=DATE(2026,7,25))*EXACT(Data!$C$2:$C$909,$A26)*Data!$D$2:$D$909)</f>
        <v>0</v>
      </c>
      <c r="H26" s="5" t="n">
        <f aca="false">SUMPRODUCT((Data!$A$2:$A$909=DATE(2026,7,26))*EXACT(Data!$C$2:$C$909,$A26)*Data!$D$2:$D$909)</f>
        <v>0</v>
      </c>
      <c r="I26" s="6" t="n">
        <f aca="false">SUM(B26:H26)</f>
        <v>2</v>
      </c>
      <c r="J26" s="7" t="n">
        <f aca="false">IF(B26=0,"",(H26-B26)/B26)</f>
        <v>-1</v>
      </c>
    </row>
    <row r="27" customFormat="false" ht="15" hidden="false" customHeight="false" outlineLevel="0" collapsed="false">
      <c r="A27" s="3" t="s">
        <v>89</v>
      </c>
      <c r="B27" s="5" t="n">
        <f aca="false">SUMPRODUCT((Data!$A$2:$A$909=DATE(2026,7,20))*EXACT(Data!$C$2:$C$909,$A27)*Data!$D$2:$D$909)</f>
        <v>1</v>
      </c>
      <c r="C27" s="5" t="n">
        <f aca="false">SUMPRODUCT((Data!$A$2:$A$909=DATE(2026,7,21))*EXACT(Data!$C$2:$C$909,$A27)*Data!$D$2:$D$909)</f>
        <v>0</v>
      </c>
      <c r="D27" s="5" t="n">
        <f aca="false">SUMPRODUCT((Data!$A$2:$A$909=DATE(2026,7,22))*EXACT(Data!$C$2:$C$909,$A27)*Data!$D$2:$D$909)</f>
        <v>0</v>
      </c>
      <c r="E27" s="5" t="n">
        <f aca="false">SUMPRODUCT((Data!$A$2:$A$909=DATE(2026,7,23))*EXACT(Data!$C$2:$C$909,$A27)*Data!$D$2:$D$909)</f>
        <v>0</v>
      </c>
      <c r="F27" s="5" t="n">
        <f aca="false">SUMPRODUCT((Data!$A$2:$A$909=DATE(2026,7,24))*EXACT(Data!$C$2:$C$909,$A27)*Data!$D$2:$D$909)</f>
        <v>0</v>
      </c>
      <c r="G27" s="5" t="n">
        <f aca="false">SUMPRODUCT((Data!$A$2:$A$909=DATE(2026,7,25))*EXACT(Data!$C$2:$C$909,$A27)*Data!$D$2:$D$909)</f>
        <v>0</v>
      </c>
      <c r="H27" s="5" t="n">
        <f aca="false">SUMPRODUCT((Data!$A$2:$A$909=DATE(2026,7,26))*EXACT(Data!$C$2:$C$909,$A27)*Data!$D$2:$D$909)</f>
        <v>0</v>
      </c>
      <c r="I27" s="6" t="n">
        <f aca="false">SUM(B27:H27)</f>
        <v>1</v>
      </c>
      <c r="J27" s="7" t="n">
        <f aca="false">IF(B27=0,"",(H27-B27)/B27)</f>
        <v>-1</v>
      </c>
    </row>
    <row r="28" customFormat="false" ht="15" hidden="false" customHeight="false" outlineLevel="0" collapsed="false">
      <c r="A28" s="3" t="s">
        <v>86</v>
      </c>
      <c r="B28" s="5" t="n">
        <f aca="false">SUMPRODUCT((Data!$A$2:$A$909=DATE(2026,7,20))*EXACT(Data!$C$2:$C$909,$A28)*Data!$D$2:$D$909)</f>
        <v>2</v>
      </c>
      <c r="C28" s="5" t="n">
        <f aca="false">SUMPRODUCT((Data!$A$2:$A$909=DATE(2026,7,21))*EXACT(Data!$C$2:$C$909,$A28)*Data!$D$2:$D$909)</f>
        <v>0</v>
      </c>
      <c r="D28" s="5" t="n">
        <f aca="false">SUMPRODUCT((Data!$A$2:$A$909=DATE(2026,7,22))*EXACT(Data!$C$2:$C$909,$A28)*Data!$D$2:$D$909)</f>
        <v>0</v>
      </c>
      <c r="E28" s="5" t="n">
        <f aca="false">SUMPRODUCT((Data!$A$2:$A$909=DATE(2026,7,23))*EXACT(Data!$C$2:$C$909,$A28)*Data!$D$2:$D$909)</f>
        <v>0</v>
      </c>
      <c r="F28" s="5" t="n">
        <f aca="false">SUMPRODUCT((Data!$A$2:$A$909=DATE(2026,7,24))*EXACT(Data!$C$2:$C$909,$A28)*Data!$D$2:$D$909)</f>
        <v>0</v>
      </c>
      <c r="G28" s="5" t="n">
        <f aca="false">SUMPRODUCT((Data!$A$2:$A$909=DATE(2026,7,25))*EXACT(Data!$C$2:$C$909,$A28)*Data!$D$2:$D$909)</f>
        <v>0</v>
      </c>
      <c r="H28" s="5" t="n">
        <f aca="false">SUMPRODUCT((Data!$A$2:$A$909=DATE(2026,7,26))*EXACT(Data!$C$2:$C$909,$A28)*Data!$D$2:$D$909)</f>
        <v>0</v>
      </c>
      <c r="I28" s="6" t="n">
        <f aca="false">SUM(B28:H28)</f>
        <v>2</v>
      </c>
      <c r="J28" s="7" t="n">
        <f aca="false">IF(B28=0,"",(H28-B28)/B28)</f>
        <v>-1</v>
      </c>
    </row>
    <row r="29" customFormat="false" ht="15" hidden="false" customHeight="false" outlineLevel="0" collapsed="false">
      <c r="A29" s="3" t="s">
        <v>90</v>
      </c>
      <c r="B29" s="5" t="n">
        <f aca="false">SUMPRODUCT((Data!$A$2:$A$909=DATE(2026,7,20))*EXACT(Data!$C$2:$C$909,$A29)*Data!$D$2:$D$909)</f>
        <v>1</v>
      </c>
      <c r="C29" s="5" t="n">
        <f aca="false">SUMPRODUCT((Data!$A$2:$A$909=DATE(2026,7,21))*EXACT(Data!$C$2:$C$909,$A29)*Data!$D$2:$D$909)</f>
        <v>0</v>
      </c>
      <c r="D29" s="5" t="n">
        <f aca="false">SUMPRODUCT((Data!$A$2:$A$909=DATE(2026,7,22))*EXACT(Data!$C$2:$C$909,$A29)*Data!$D$2:$D$909)</f>
        <v>0</v>
      </c>
      <c r="E29" s="5" t="n">
        <f aca="false">SUMPRODUCT((Data!$A$2:$A$909=DATE(2026,7,23))*EXACT(Data!$C$2:$C$909,$A29)*Data!$D$2:$D$909)</f>
        <v>0</v>
      </c>
      <c r="F29" s="5" t="n">
        <f aca="false">SUMPRODUCT((Data!$A$2:$A$909=DATE(2026,7,24))*EXACT(Data!$C$2:$C$909,$A29)*Data!$D$2:$D$909)</f>
        <v>0</v>
      </c>
      <c r="G29" s="5" t="n">
        <f aca="false">SUMPRODUCT((Data!$A$2:$A$909=DATE(2026,7,25))*EXACT(Data!$C$2:$C$909,$A29)*Data!$D$2:$D$909)</f>
        <v>0</v>
      </c>
      <c r="H29" s="5" t="n">
        <f aca="false">SUMPRODUCT((Data!$A$2:$A$909=DATE(2026,7,26))*EXACT(Data!$C$2:$C$909,$A29)*Data!$D$2:$D$909)</f>
        <v>0</v>
      </c>
      <c r="I29" s="6" t="n">
        <f aca="false">SUM(B29:H29)</f>
        <v>1</v>
      </c>
      <c r="J29" s="7" t="n">
        <f aca="false">IF(B29=0,"",(H29-B29)/B29)</f>
        <v>-1</v>
      </c>
    </row>
    <row r="30" customFormat="false" ht="15" hidden="false" customHeight="false" outlineLevel="0" collapsed="false">
      <c r="A30" s="3" t="s">
        <v>98</v>
      </c>
      <c r="B30" s="5" t="n">
        <f aca="false">SUMPRODUCT((Data!$A$2:$A$909=DATE(2026,7,20))*EXACT(Data!$C$2:$C$909,$A30)*Data!$D$2:$D$909)</f>
        <v>7</v>
      </c>
      <c r="C30" s="5" t="n">
        <f aca="false">SUMPRODUCT((Data!$A$2:$A$909=DATE(2026,7,21))*EXACT(Data!$C$2:$C$909,$A30)*Data!$D$2:$D$909)</f>
        <v>6</v>
      </c>
      <c r="D30" s="5" t="n">
        <f aca="false">SUMPRODUCT((Data!$A$2:$A$909=DATE(2026,7,22))*EXACT(Data!$C$2:$C$909,$A30)*Data!$D$2:$D$909)</f>
        <v>10</v>
      </c>
      <c r="E30" s="5" t="n">
        <f aca="false">SUMPRODUCT((Data!$A$2:$A$909=DATE(2026,7,23))*EXACT(Data!$C$2:$C$909,$A30)*Data!$D$2:$D$909)</f>
        <v>0</v>
      </c>
      <c r="F30" s="5" t="n">
        <f aca="false">SUMPRODUCT((Data!$A$2:$A$909=DATE(2026,7,24))*EXACT(Data!$C$2:$C$909,$A30)*Data!$D$2:$D$909)</f>
        <v>0</v>
      </c>
      <c r="G30" s="5" t="n">
        <f aca="false">SUMPRODUCT((Data!$A$2:$A$909=DATE(2026,7,25))*EXACT(Data!$C$2:$C$909,$A30)*Data!$D$2:$D$909)</f>
        <v>10</v>
      </c>
      <c r="H30" s="5" t="n">
        <f aca="false">SUMPRODUCT((Data!$A$2:$A$909=DATE(2026,7,26))*EXACT(Data!$C$2:$C$909,$A30)*Data!$D$2:$D$909)</f>
        <v>0</v>
      </c>
      <c r="I30" s="6" t="n">
        <f aca="false">SUM(B30:H30)</f>
        <v>33</v>
      </c>
      <c r="J30" s="7" t="n">
        <f aca="false">IF(B30=0,"",(H30-B30)/B30)</f>
        <v>-1</v>
      </c>
    </row>
    <row r="31" customFormat="false" ht="15" hidden="false" customHeight="false" outlineLevel="0" collapsed="false">
      <c r="A31" s="3" t="s">
        <v>70</v>
      </c>
      <c r="B31" s="5" t="n">
        <f aca="false">SUMPRODUCT((Data!$A$2:$A$909=DATE(2026,7,20))*EXACT(Data!$C$2:$C$909,$A31)*Data!$D$2:$D$909)</f>
        <v>3</v>
      </c>
      <c r="C31" s="5" t="n">
        <f aca="false">SUMPRODUCT((Data!$A$2:$A$909=DATE(2026,7,21))*EXACT(Data!$C$2:$C$909,$A31)*Data!$D$2:$D$909)</f>
        <v>8</v>
      </c>
      <c r="D31" s="5" t="n">
        <f aca="false">SUMPRODUCT((Data!$A$2:$A$909=DATE(2026,7,22))*EXACT(Data!$C$2:$C$909,$A31)*Data!$D$2:$D$909)</f>
        <v>3</v>
      </c>
      <c r="E31" s="5" t="n">
        <f aca="false">SUMPRODUCT((Data!$A$2:$A$909=DATE(2026,7,23))*EXACT(Data!$C$2:$C$909,$A31)*Data!$D$2:$D$909)</f>
        <v>0</v>
      </c>
      <c r="F31" s="5" t="n">
        <f aca="false">SUMPRODUCT((Data!$A$2:$A$909=DATE(2026,7,24))*EXACT(Data!$C$2:$C$909,$A31)*Data!$D$2:$D$909)</f>
        <v>4</v>
      </c>
      <c r="G31" s="5" t="n">
        <f aca="false">SUMPRODUCT((Data!$A$2:$A$909=DATE(2026,7,25))*EXACT(Data!$C$2:$C$909,$A31)*Data!$D$2:$D$909)</f>
        <v>0</v>
      </c>
      <c r="H31" s="5" t="n">
        <f aca="false">SUMPRODUCT((Data!$A$2:$A$909=DATE(2026,7,26))*EXACT(Data!$C$2:$C$909,$A31)*Data!$D$2:$D$909)</f>
        <v>0</v>
      </c>
      <c r="I31" s="6" t="n">
        <f aca="false">SUM(B31:H31)</f>
        <v>18</v>
      </c>
      <c r="J31" s="7" t="n">
        <f aca="false">IF(B31=0,"",(H31-B31)/B31)</f>
        <v>-1</v>
      </c>
    </row>
    <row r="32" customFormat="false" ht="15" hidden="false" customHeight="false" outlineLevel="0" collapsed="false">
      <c r="A32" s="3" t="s">
        <v>102</v>
      </c>
      <c r="B32" s="5" t="n">
        <f aca="false">SUMPRODUCT((Data!$A$2:$A$909=DATE(2026,7,20))*EXACT(Data!$C$2:$C$909,$A32)*Data!$D$2:$D$909)</f>
        <v>7</v>
      </c>
      <c r="C32" s="5" t="n">
        <f aca="false">SUMPRODUCT((Data!$A$2:$A$909=DATE(2026,7,21))*EXACT(Data!$C$2:$C$909,$A32)*Data!$D$2:$D$909)</f>
        <v>9</v>
      </c>
      <c r="D32" s="5" t="n">
        <f aca="false">SUMPRODUCT((Data!$A$2:$A$909=DATE(2026,7,22))*EXACT(Data!$C$2:$C$909,$A32)*Data!$D$2:$D$909)</f>
        <v>4</v>
      </c>
      <c r="E32" s="5" t="n">
        <f aca="false">SUMPRODUCT((Data!$A$2:$A$909=DATE(2026,7,23))*EXACT(Data!$C$2:$C$909,$A32)*Data!$D$2:$D$909)</f>
        <v>0</v>
      </c>
      <c r="F32" s="5" t="n">
        <f aca="false">SUMPRODUCT((Data!$A$2:$A$909=DATE(2026,7,24))*EXACT(Data!$C$2:$C$909,$A32)*Data!$D$2:$D$909)</f>
        <v>2</v>
      </c>
      <c r="G32" s="5" t="n">
        <f aca="false">SUMPRODUCT((Data!$A$2:$A$909=DATE(2026,7,25))*EXACT(Data!$C$2:$C$909,$A32)*Data!$D$2:$D$909)</f>
        <v>0</v>
      </c>
      <c r="H32" s="5" t="n">
        <f aca="false">SUMPRODUCT((Data!$A$2:$A$909=DATE(2026,7,26))*EXACT(Data!$C$2:$C$909,$A32)*Data!$D$2:$D$909)</f>
        <v>0</v>
      </c>
      <c r="I32" s="6" t="n">
        <f aca="false">SUM(B32:H32)</f>
        <v>22</v>
      </c>
      <c r="J32" s="7" t="n">
        <f aca="false">IF(B32=0,"",(H32-B32)/B32)</f>
        <v>-1</v>
      </c>
    </row>
    <row r="33" customFormat="false" ht="15" hidden="false" customHeight="false" outlineLevel="0" collapsed="false">
      <c r="A33" s="3" t="s">
        <v>101</v>
      </c>
      <c r="B33" s="5" t="n">
        <f aca="false">SUMPRODUCT((Data!$A$2:$A$909=DATE(2026,7,20))*EXACT(Data!$C$2:$C$909,$A33)*Data!$D$2:$D$909)</f>
        <v>22</v>
      </c>
      <c r="C33" s="5" t="n">
        <f aca="false">SUMPRODUCT((Data!$A$2:$A$909=DATE(2026,7,21))*EXACT(Data!$C$2:$C$909,$A33)*Data!$D$2:$D$909)</f>
        <v>94</v>
      </c>
      <c r="D33" s="5" t="n">
        <f aca="false">SUMPRODUCT((Data!$A$2:$A$909=DATE(2026,7,22))*EXACT(Data!$C$2:$C$909,$A33)*Data!$D$2:$D$909)</f>
        <v>35</v>
      </c>
      <c r="E33" s="5" t="n">
        <f aca="false">SUMPRODUCT((Data!$A$2:$A$909=DATE(2026,7,23))*EXACT(Data!$C$2:$C$909,$A33)*Data!$D$2:$D$909)</f>
        <v>18</v>
      </c>
      <c r="F33" s="5" t="n">
        <f aca="false">SUMPRODUCT((Data!$A$2:$A$909=DATE(2026,7,24))*EXACT(Data!$C$2:$C$909,$A33)*Data!$D$2:$D$909)</f>
        <v>27</v>
      </c>
      <c r="G33" s="5" t="n">
        <f aca="false">SUMPRODUCT((Data!$A$2:$A$909=DATE(2026,7,25))*EXACT(Data!$C$2:$C$909,$A33)*Data!$D$2:$D$909)</f>
        <v>0</v>
      </c>
      <c r="H33" s="5" t="n">
        <f aca="false">SUMPRODUCT((Data!$A$2:$A$909=DATE(2026,7,26))*EXACT(Data!$C$2:$C$909,$A33)*Data!$D$2:$D$909)</f>
        <v>0</v>
      </c>
      <c r="I33" s="6" t="n">
        <f aca="false">SUM(B33:H33)</f>
        <v>196</v>
      </c>
      <c r="J33" s="7" t="n">
        <f aca="false">IF(B33=0,"",(H33-B33)/B33)</f>
        <v>-1</v>
      </c>
    </row>
    <row r="34" customFormat="false" ht="15" hidden="false" customHeight="false" outlineLevel="0" collapsed="false">
      <c r="A34" s="3" t="s">
        <v>7</v>
      </c>
      <c r="B34" s="5" t="n">
        <f aca="false">SUMPRODUCT((Data!$A$2:$A$909=DATE(2026,7,20))*EXACT(Data!$C$2:$C$909,$A34)*Data!$D$2:$D$909)</f>
        <v>12</v>
      </c>
      <c r="C34" s="5" t="n">
        <f aca="false">SUMPRODUCT((Data!$A$2:$A$909=DATE(2026,7,21))*EXACT(Data!$C$2:$C$909,$A34)*Data!$D$2:$D$909)</f>
        <v>1</v>
      </c>
      <c r="D34" s="5" t="n">
        <f aca="false">SUMPRODUCT((Data!$A$2:$A$909=DATE(2026,7,22))*EXACT(Data!$C$2:$C$909,$A34)*Data!$D$2:$D$909)</f>
        <v>8</v>
      </c>
      <c r="E34" s="5" t="n">
        <f aca="false">SUMPRODUCT((Data!$A$2:$A$909=DATE(2026,7,23))*EXACT(Data!$C$2:$C$909,$A34)*Data!$D$2:$D$909)</f>
        <v>1</v>
      </c>
      <c r="F34" s="5" t="n">
        <f aca="false">SUMPRODUCT((Data!$A$2:$A$909=DATE(2026,7,24))*EXACT(Data!$C$2:$C$909,$A34)*Data!$D$2:$D$909)</f>
        <v>0</v>
      </c>
      <c r="G34" s="5" t="n">
        <f aca="false">SUMPRODUCT((Data!$A$2:$A$909=DATE(2026,7,25))*EXACT(Data!$C$2:$C$909,$A34)*Data!$D$2:$D$909)</f>
        <v>0</v>
      </c>
      <c r="H34" s="5" t="n">
        <f aca="false">SUMPRODUCT((Data!$A$2:$A$909=DATE(2026,7,26))*EXACT(Data!$C$2:$C$909,$A34)*Data!$D$2:$D$909)</f>
        <v>0</v>
      </c>
      <c r="I34" s="6" t="n">
        <f aca="false">SUM(B34:H34)</f>
        <v>22</v>
      </c>
      <c r="J34" s="7" t="n">
        <f aca="false">IF(B34=0,"",(H34-B34)/B34)</f>
        <v>-1</v>
      </c>
    </row>
    <row r="35" customFormat="false" ht="15" hidden="false" customHeight="false" outlineLevel="0" collapsed="false">
      <c r="A35" s="3" t="s">
        <v>100</v>
      </c>
      <c r="B35" s="5" t="n">
        <f aca="false">SUMPRODUCT((Data!$A$2:$A$909=DATE(2026,7,20))*EXACT(Data!$C$2:$C$909,$A35)*Data!$D$2:$D$909)</f>
        <v>36</v>
      </c>
      <c r="C35" s="5" t="n">
        <f aca="false">SUMPRODUCT((Data!$A$2:$A$909=DATE(2026,7,21))*EXACT(Data!$C$2:$C$909,$A35)*Data!$D$2:$D$909)</f>
        <v>22</v>
      </c>
      <c r="D35" s="5" t="n">
        <f aca="false">SUMPRODUCT((Data!$A$2:$A$909=DATE(2026,7,22))*EXACT(Data!$C$2:$C$909,$A35)*Data!$D$2:$D$909)</f>
        <v>69</v>
      </c>
      <c r="E35" s="5" t="n">
        <f aca="false">SUMPRODUCT((Data!$A$2:$A$909=DATE(2026,7,23))*EXACT(Data!$C$2:$C$909,$A35)*Data!$D$2:$D$909)</f>
        <v>22</v>
      </c>
      <c r="F35" s="5" t="n">
        <f aca="false">SUMPRODUCT((Data!$A$2:$A$909=DATE(2026,7,24))*EXACT(Data!$C$2:$C$909,$A35)*Data!$D$2:$D$909)</f>
        <v>0</v>
      </c>
      <c r="G35" s="5" t="n">
        <f aca="false">SUMPRODUCT((Data!$A$2:$A$909=DATE(2026,7,25))*EXACT(Data!$C$2:$C$909,$A35)*Data!$D$2:$D$909)</f>
        <v>11</v>
      </c>
      <c r="H35" s="5" t="n">
        <f aca="false">SUMPRODUCT((Data!$A$2:$A$909=DATE(2026,7,26))*EXACT(Data!$C$2:$C$909,$A35)*Data!$D$2:$D$909)</f>
        <v>0</v>
      </c>
      <c r="I35" s="6" t="n">
        <f aca="false">SUM(B35:H35)</f>
        <v>160</v>
      </c>
      <c r="J35" s="7" t="n">
        <f aca="false">IF(B35=0,"",(H35-B35)/B35)</f>
        <v>-1</v>
      </c>
    </row>
    <row r="36" customFormat="false" ht="15" hidden="false" customHeight="false" outlineLevel="0" collapsed="false">
      <c r="A36" s="3" t="s">
        <v>6</v>
      </c>
      <c r="B36" s="5" t="n">
        <f aca="false">SUMPRODUCT((Data!$A$2:$A$909=DATE(2026,7,20))*EXACT(Data!$C$2:$C$909,$A36)*Data!$D$2:$D$909)</f>
        <v>15</v>
      </c>
      <c r="C36" s="5" t="n">
        <f aca="false">SUMPRODUCT((Data!$A$2:$A$909=DATE(2026,7,21))*EXACT(Data!$C$2:$C$909,$A36)*Data!$D$2:$D$909)</f>
        <v>3</v>
      </c>
      <c r="D36" s="5" t="n">
        <f aca="false">SUMPRODUCT((Data!$A$2:$A$909=DATE(2026,7,22))*EXACT(Data!$C$2:$C$909,$A36)*Data!$D$2:$D$909)</f>
        <v>11</v>
      </c>
      <c r="E36" s="5" t="n">
        <f aca="false">SUMPRODUCT((Data!$A$2:$A$909=DATE(2026,7,23))*EXACT(Data!$C$2:$C$909,$A36)*Data!$D$2:$D$909)</f>
        <v>13</v>
      </c>
      <c r="F36" s="5" t="n">
        <f aca="false">SUMPRODUCT((Data!$A$2:$A$909=DATE(2026,7,24))*EXACT(Data!$C$2:$C$909,$A36)*Data!$D$2:$D$909)</f>
        <v>7</v>
      </c>
      <c r="G36" s="5" t="n">
        <f aca="false">SUMPRODUCT((Data!$A$2:$A$909=DATE(2026,7,25))*EXACT(Data!$C$2:$C$909,$A36)*Data!$D$2:$D$909)</f>
        <v>0</v>
      </c>
      <c r="H36" s="5" t="n">
        <f aca="false">SUMPRODUCT((Data!$A$2:$A$909=DATE(2026,7,26))*EXACT(Data!$C$2:$C$909,$A36)*Data!$D$2:$D$909)</f>
        <v>0</v>
      </c>
      <c r="I36" s="6" t="n">
        <f aca="false">SUM(B36:H36)</f>
        <v>49</v>
      </c>
      <c r="J36" s="7" t="n">
        <f aca="false">IF(B36=0,"",(H36-B36)/B36)</f>
        <v>-1</v>
      </c>
    </row>
    <row r="37" customFormat="false" ht="15" hidden="false" customHeight="false" outlineLevel="0" collapsed="false">
      <c r="A37" s="3" t="s">
        <v>99</v>
      </c>
      <c r="B37" s="5" t="n">
        <f aca="false">SUMPRODUCT((Data!$A$2:$A$909=DATE(2026,7,20))*EXACT(Data!$C$2:$C$909,$A37)*Data!$D$2:$D$909)</f>
        <v>8</v>
      </c>
      <c r="C37" s="5" t="n">
        <f aca="false">SUMPRODUCT((Data!$A$2:$A$909=DATE(2026,7,21))*EXACT(Data!$C$2:$C$909,$A37)*Data!$D$2:$D$909)</f>
        <v>10</v>
      </c>
      <c r="D37" s="5" t="n">
        <f aca="false">SUMPRODUCT((Data!$A$2:$A$909=DATE(2026,7,22))*EXACT(Data!$C$2:$C$909,$A37)*Data!$D$2:$D$909)</f>
        <v>21</v>
      </c>
      <c r="E37" s="5" t="n">
        <f aca="false">SUMPRODUCT((Data!$A$2:$A$909=DATE(2026,7,23))*EXACT(Data!$C$2:$C$909,$A37)*Data!$D$2:$D$909)</f>
        <v>11</v>
      </c>
      <c r="F37" s="5" t="n">
        <f aca="false">SUMPRODUCT((Data!$A$2:$A$909=DATE(2026,7,24))*EXACT(Data!$C$2:$C$909,$A37)*Data!$D$2:$D$909)</f>
        <v>0</v>
      </c>
      <c r="G37" s="5" t="n">
        <f aca="false">SUMPRODUCT((Data!$A$2:$A$909=DATE(2026,7,25))*EXACT(Data!$C$2:$C$909,$A37)*Data!$D$2:$D$909)</f>
        <v>9</v>
      </c>
      <c r="H37" s="5" t="n">
        <f aca="false">SUMPRODUCT((Data!$A$2:$A$909=DATE(2026,7,26))*EXACT(Data!$C$2:$C$909,$A37)*Data!$D$2:$D$909)</f>
        <v>0</v>
      </c>
      <c r="I37" s="6" t="n">
        <f aca="false">SUM(B37:H37)</f>
        <v>59</v>
      </c>
      <c r="J37" s="7" t="n">
        <f aca="false">IF(B37=0,"",(H37-B37)/B37)</f>
        <v>-1</v>
      </c>
    </row>
    <row r="38" customFormat="false" ht="15" hidden="false" customHeight="false" outlineLevel="0" collapsed="false">
      <c r="A38" s="3" t="s">
        <v>5</v>
      </c>
      <c r="B38" s="5" t="n">
        <f aca="false">SUMPRODUCT((Data!$A$2:$A$909=DATE(2026,7,20))*EXACT(Data!$C$2:$C$909,$A38)*Data!$D$2:$D$909)</f>
        <v>64</v>
      </c>
      <c r="C38" s="5" t="n">
        <f aca="false">SUMPRODUCT((Data!$A$2:$A$909=DATE(2026,7,21))*EXACT(Data!$C$2:$C$909,$A38)*Data!$D$2:$D$909)</f>
        <v>7</v>
      </c>
      <c r="D38" s="5" t="n">
        <f aca="false">SUMPRODUCT((Data!$A$2:$A$909=DATE(2026,7,22))*EXACT(Data!$C$2:$C$909,$A38)*Data!$D$2:$D$909)</f>
        <v>10</v>
      </c>
      <c r="E38" s="5" t="n">
        <f aca="false">SUMPRODUCT((Data!$A$2:$A$909=DATE(2026,7,23))*EXACT(Data!$C$2:$C$909,$A38)*Data!$D$2:$D$909)</f>
        <v>5</v>
      </c>
      <c r="F38" s="5" t="n">
        <f aca="false">SUMPRODUCT((Data!$A$2:$A$909=DATE(2026,7,24))*EXACT(Data!$C$2:$C$909,$A38)*Data!$D$2:$D$909)</f>
        <v>20</v>
      </c>
      <c r="G38" s="5" t="n">
        <f aca="false">SUMPRODUCT((Data!$A$2:$A$909=DATE(2026,7,25))*EXACT(Data!$C$2:$C$909,$A38)*Data!$D$2:$D$909)</f>
        <v>0</v>
      </c>
      <c r="H38" s="5" t="n">
        <f aca="false">SUMPRODUCT((Data!$A$2:$A$909=DATE(2026,7,26))*EXACT(Data!$C$2:$C$909,$A38)*Data!$D$2:$D$909)</f>
        <v>0</v>
      </c>
      <c r="I38" s="6" t="n">
        <f aca="false">SUM(B38:H38)</f>
        <v>106</v>
      </c>
      <c r="J38" s="7" t="n">
        <f aca="false">IF(B38=0,"",(H38-B38)/B38)</f>
        <v>-1</v>
      </c>
    </row>
    <row r="39" customFormat="false" ht="15" hidden="false" customHeight="false" outlineLevel="0" collapsed="false">
      <c r="A39" s="3" t="s">
        <v>91</v>
      </c>
      <c r="B39" s="5" t="n">
        <f aca="false">SUMPRODUCT((Data!$A$2:$A$909=DATE(2026,7,20))*EXACT(Data!$C$2:$C$909,$A39)*Data!$D$2:$D$909)</f>
        <v>3</v>
      </c>
      <c r="C39" s="5" t="n">
        <f aca="false">SUMPRODUCT((Data!$A$2:$A$909=DATE(2026,7,21))*EXACT(Data!$C$2:$C$909,$A39)*Data!$D$2:$D$909)</f>
        <v>0</v>
      </c>
      <c r="D39" s="5" t="n">
        <f aca="false">SUMPRODUCT((Data!$A$2:$A$909=DATE(2026,7,22))*EXACT(Data!$C$2:$C$909,$A39)*Data!$D$2:$D$909)</f>
        <v>0</v>
      </c>
      <c r="E39" s="5" t="n">
        <f aca="false">SUMPRODUCT((Data!$A$2:$A$909=DATE(2026,7,23))*EXACT(Data!$C$2:$C$909,$A39)*Data!$D$2:$D$909)</f>
        <v>0</v>
      </c>
      <c r="F39" s="5" t="n">
        <f aca="false">SUMPRODUCT((Data!$A$2:$A$909=DATE(2026,7,24))*EXACT(Data!$C$2:$C$909,$A39)*Data!$D$2:$D$909)</f>
        <v>0</v>
      </c>
      <c r="G39" s="5" t="n">
        <f aca="false">SUMPRODUCT((Data!$A$2:$A$909=DATE(2026,7,25))*EXACT(Data!$C$2:$C$909,$A39)*Data!$D$2:$D$909)</f>
        <v>0</v>
      </c>
      <c r="H39" s="5" t="n">
        <f aca="false">SUMPRODUCT((Data!$A$2:$A$909=DATE(2026,7,26))*EXACT(Data!$C$2:$C$909,$A39)*Data!$D$2:$D$909)</f>
        <v>0</v>
      </c>
      <c r="I39" s="6" t="n">
        <f aca="false">SUM(B39:H39)</f>
        <v>3</v>
      </c>
      <c r="J39" s="7" t="n">
        <f aca="false">IF(B39=0,"",(H39-B39)/B39)</f>
        <v>-1</v>
      </c>
    </row>
    <row r="40" customFormat="false" ht="15" hidden="false" customHeight="false" outlineLevel="0" collapsed="false">
      <c r="A40" s="3" t="s">
        <v>110</v>
      </c>
      <c r="B40" s="5" t="n">
        <f aca="false">SUMPRODUCT((Data!$A$2:$A$909=DATE(2026,7,20))*EXACT(Data!$C$2:$C$909,$A40)*Data!$D$2:$D$909)</f>
        <v>0</v>
      </c>
      <c r="C40" s="5" t="n">
        <f aca="false">SUMPRODUCT((Data!$A$2:$A$909=DATE(2026,7,21))*EXACT(Data!$C$2:$C$909,$A40)*Data!$D$2:$D$909)</f>
        <v>3</v>
      </c>
      <c r="D40" s="5" t="n">
        <f aca="false">SUMPRODUCT((Data!$A$2:$A$909=DATE(2026,7,22))*EXACT(Data!$C$2:$C$909,$A40)*Data!$D$2:$D$909)</f>
        <v>0</v>
      </c>
      <c r="E40" s="5" t="n">
        <f aca="false">SUMPRODUCT((Data!$A$2:$A$909=DATE(2026,7,23))*EXACT(Data!$C$2:$C$909,$A40)*Data!$D$2:$D$909)</f>
        <v>1</v>
      </c>
      <c r="F40" s="5" t="n">
        <f aca="false">SUMPRODUCT((Data!$A$2:$A$909=DATE(2026,7,24))*EXACT(Data!$C$2:$C$909,$A40)*Data!$D$2:$D$909)</f>
        <v>0</v>
      </c>
      <c r="G40" s="5" t="n">
        <f aca="false">SUMPRODUCT((Data!$A$2:$A$909=DATE(2026,7,25))*EXACT(Data!$C$2:$C$909,$A40)*Data!$D$2:$D$909)</f>
        <v>0</v>
      </c>
      <c r="H40" s="5" t="n">
        <f aca="false">SUMPRODUCT((Data!$A$2:$A$909=DATE(2026,7,26))*EXACT(Data!$C$2:$C$909,$A40)*Data!$D$2:$D$909)</f>
        <v>0</v>
      </c>
      <c r="I40" s="6" t="n">
        <f aca="false">SUM(B40:H40)</f>
        <v>4</v>
      </c>
      <c r="J40" s="7" t="str">
        <f aca="false">IF(B40=0,"",(H40-B40)/B40)</f>
        <v/>
      </c>
    </row>
    <row r="41" customFormat="false" ht="15" hidden="false" customHeight="false" outlineLevel="0" collapsed="false">
      <c r="A41" s="3" t="s">
        <v>111</v>
      </c>
      <c r="B41" s="5" t="n">
        <f aca="false">SUMPRODUCT((Data!$A$2:$A$909=DATE(2026,7,20))*EXACT(Data!$C$2:$C$909,$A41)*Data!$D$2:$D$909)</f>
        <v>0</v>
      </c>
      <c r="C41" s="5" t="n">
        <f aca="false">SUMPRODUCT((Data!$A$2:$A$909=DATE(2026,7,21))*EXACT(Data!$C$2:$C$909,$A41)*Data!$D$2:$D$909)</f>
        <v>1</v>
      </c>
      <c r="D41" s="5" t="n">
        <f aca="false">SUMPRODUCT((Data!$A$2:$A$909=DATE(2026,7,22))*EXACT(Data!$C$2:$C$909,$A41)*Data!$D$2:$D$909)</f>
        <v>0</v>
      </c>
      <c r="E41" s="5" t="n">
        <f aca="false">SUMPRODUCT((Data!$A$2:$A$909=DATE(2026,7,23))*EXACT(Data!$C$2:$C$909,$A41)*Data!$D$2:$D$909)</f>
        <v>1</v>
      </c>
      <c r="F41" s="5" t="n">
        <f aca="false">SUMPRODUCT((Data!$A$2:$A$909=DATE(2026,7,24))*EXACT(Data!$C$2:$C$909,$A41)*Data!$D$2:$D$909)</f>
        <v>0</v>
      </c>
      <c r="G41" s="5" t="n">
        <f aca="false">SUMPRODUCT((Data!$A$2:$A$909=DATE(2026,7,25))*EXACT(Data!$C$2:$C$909,$A41)*Data!$D$2:$D$909)</f>
        <v>0</v>
      </c>
      <c r="H41" s="5" t="n">
        <f aca="false">SUMPRODUCT((Data!$A$2:$A$909=DATE(2026,7,26))*EXACT(Data!$C$2:$C$909,$A41)*Data!$D$2:$D$909)</f>
        <v>0</v>
      </c>
      <c r="I41" s="6" t="n">
        <f aca="false">SUM(B41:H41)</f>
        <v>2</v>
      </c>
      <c r="J41" s="7" t="str">
        <f aca="false">IF(B41=0,"",(H41-B41)/B41)</f>
        <v/>
      </c>
    </row>
    <row r="42" customFormat="false" ht="15" hidden="false" customHeight="false" outlineLevel="0" collapsed="false">
      <c r="A42" s="3" t="s">
        <v>108</v>
      </c>
      <c r="B42" s="5" t="n">
        <f aca="false">SUMPRODUCT((Data!$A$2:$A$909=DATE(2026,7,20))*EXACT(Data!$C$2:$C$909,$A42)*Data!$D$2:$D$909)</f>
        <v>0</v>
      </c>
      <c r="C42" s="5" t="n">
        <f aca="false">SUMPRODUCT((Data!$A$2:$A$909=DATE(2026,7,21))*EXACT(Data!$C$2:$C$909,$A42)*Data!$D$2:$D$909)</f>
        <v>1</v>
      </c>
      <c r="D42" s="5" t="n">
        <f aca="false">SUMPRODUCT((Data!$A$2:$A$909=DATE(2026,7,22))*EXACT(Data!$C$2:$C$909,$A42)*Data!$D$2:$D$909)</f>
        <v>0</v>
      </c>
      <c r="E42" s="5" t="n">
        <f aca="false">SUMPRODUCT((Data!$A$2:$A$909=DATE(2026,7,23))*EXACT(Data!$C$2:$C$909,$A42)*Data!$D$2:$D$909)</f>
        <v>0</v>
      </c>
      <c r="F42" s="5" t="n">
        <f aca="false">SUMPRODUCT((Data!$A$2:$A$909=DATE(2026,7,24))*EXACT(Data!$C$2:$C$909,$A42)*Data!$D$2:$D$909)</f>
        <v>0</v>
      </c>
      <c r="G42" s="5" t="n">
        <f aca="false">SUMPRODUCT((Data!$A$2:$A$909=DATE(2026,7,25))*EXACT(Data!$C$2:$C$909,$A42)*Data!$D$2:$D$909)</f>
        <v>0</v>
      </c>
      <c r="H42" s="5" t="n">
        <f aca="false">SUMPRODUCT((Data!$A$2:$A$909=DATE(2026,7,26))*EXACT(Data!$C$2:$C$909,$A42)*Data!$D$2:$D$909)</f>
        <v>0</v>
      </c>
      <c r="I42" s="6" t="n">
        <f aca="false">SUM(B42:H42)</f>
        <v>1</v>
      </c>
      <c r="J42" s="7" t="str">
        <f aca="false">IF(B42=0,"",(H42-B42)/B42)</f>
        <v/>
      </c>
    </row>
    <row r="43" customFormat="false" ht="15" hidden="false" customHeight="false" outlineLevel="0" collapsed="false">
      <c r="A43" s="3" t="s">
        <v>109</v>
      </c>
      <c r="B43" s="5" t="n">
        <f aca="false">SUMPRODUCT((Data!$A$2:$A$909=DATE(2026,7,20))*EXACT(Data!$C$2:$C$909,$A43)*Data!$D$2:$D$909)</f>
        <v>0</v>
      </c>
      <c r="C43" s="5" t="n">
        <f aca="false">SUMPRODUCT((Data!$A$2:$A$909=DATE(2026,7,21))*EXACT(Data!$C$2:$C$909,$A43)*Data!$D$2:$D$909)</f>
        <v>1</v>
      </c>
      <c r="D43" s="5" t="n">
        <f aca="false">SUMPRODUCT((Data!$A$2:$A$909=DATE(2026,7,22))*EXACT(Data!$C$2:$C$909,$A43)*Data!$D$2:$D$909)</f>
        <v>0</v>
      </c>
      <c r="E43" s="5" t="n">
        <f aca="false">SUMPRODUCT((Data!$A$2:$A$909=DATE(2026,7,23))*EXACT(Data!$C$2:$C$909,$A43)*Data!$D$2:$D$909)</f>
        <v>0</v>
      </c>
      <c r="F43" s="5" t="n">
        <f aca="false">SUMPRODUCT((Data!$A$2:$A$909=DATE(2026,7,24))*EXACT(Data!$C$2:$C$909,$A43)*Data!$D$2:$D$909)</f>
        <v>0</v>
      </c>
      <c r="G43" s="5" t="n">
        <f aca="false">SUMPRODUCT((Data!$A$2:$A$909=DATE(2026,7,25))*EXACT(Data!$C$2:$C$909,$A43)*Data!$D$2:$D$909)</f>
        <v>0</v>
      </c>
      <c r="H43" s="5" t="n">
        <f aca="false">SUMPRODUCT((Data!$A$2:$A$909=DATE(2026,7,26))*EXACT(Data!$C$2:$C$909,$A43)*Data!$D$2:$D$909)</f>
        <v>0</v>
      </c>
      <c r="I43" s="6" t="n">
        <f aca="false">SUM(B43:H43)</f>
        <v>1</v>
      </c>
      <c r="J43" s="7" t="str">
        <f aca="false">IF(B43=0,"",(H43-B43)/B43)</f>
        <v/>
      </c>
    </row>
    <row r="45" customFormat="false" ht="15" hidden="false" customHeight="false" outlineLevel="0" collapsed="false">
      <c r="A45" s="8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9" min="3" style="0" width="10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4" t="s">
        <v>127</v>
      </c>
      <c r="B1" s="4" t="s">
        <v>116</v>
      </c>
      <c r="C1" s="4" t="s">
        <v>117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123</v>
      </c>
      <c r="J1" s="4" t="s">
        <v>124</v>
      </c>
      <c r="K1" s="4" t="s">
        <v>125</v>
      </c>
    </row>
    <row r="2" customFormat="false" ht="15" hidden="false" customHeight="false" outlineLevel="0" collapsed="false">
      <c r="A2" s="3" t="s">
        <v>4</v>
      </c>
      <c r="B2" s="3" t="s">
        <v>5</v>
      </c>
      <c r="C2" s="5" t="n">
        <f aca="false">SUMPRODUCT((Data!$A$2:$A$909=DATE(2026,7,20))*EXACT(Data!$B$2:$B$909,$A2)*EXACT(Data!$C$2:$C$909,$B2)*Data!$D$2:$D$909)</f>
        <v>64</v>
      </c>
      <c r="D2" s="5" t="n">
        <f aca="false">SUMPRODUCT((Data!$A$2:$A$909=DATE(2026,7,21))*EXACT(Data!$B$2:$B$909,$A2)*EXACT(Data!$C$2:$C$909,$B2)*Data!$D$2:$D$909)</f>
        <v>7</v>
      </c>
      <c r="E2" s="5" t="n">
        <f aca="false">SUMPRODUCT((Data!$A$2:$A$909=DATE(2026,7,22))*EXACT(Data!$B$2:$B$909,$A2)*EXACT(Data!$C$2:$C$909,$B2)*Data!$D$2:$D$909)</f>
        <v>10</v>
      </c>
      <c r="F2" s="5" t="n">
        <f aca="false">SUMPRODUCT((Data!$A$2:$A$909=DATE(2026,7,23))*EXACT(Data!$B$2:$B$909,$A2)*EXACT(Data!$C$2:$C$909,$B2)*Data!$D$2:$D$909)</f>
        <v>5</v>
      </c>
      <c r="G2" s="5" t="n">
        <f aca="false">SUMPRODUCT((Data!$A$2:$A$909=DATE(2026,7,24))*EXACT(Data!$B$2:$B$909,$A2)*EXACT(Data!$C$2:$C$909,$B2)*Data!$D$2:$D$909)</f>
        <v>20</v>
      </c>
      <c r="H2" s="5" t="n">
        <f aca="false">SUMPRODUCT((Data!$A$2:$A$909=DATE(2026,7,25))*EXACT(Data!$B$2:$B$909,$A2)*EXACT(Data!$C$2:$C$909,$B2)*Data!$D$2:$D$909)</f>
        <v>0</v>
      </c>
      <c r="I2" s="5" t="n">
        <f aca="false">SUMPRODUCT((Data!$A$2:$A$909=DATE(2026,7,26))*EXACT(Data!$B$2:$B$909,$A2)*EXACT(Data!$C$2:$C$909,$B2)*Data!$D$2:$D$909)</f>
        <v>0</v>
      </c>
      <c r="J2" s="6" t="n">
        <f aca="false">SUM(C2:I2)</f>
        <v>106</v>
      </c>
      <c r="K2" s="7" t="n">
        <f aca="false">IF(C2=0,"",(I2-C2)/C2)</f>
        <v>-1</v>
      </c>
    </row>
    <row r="3" customFormat="false" ht="15" hidden="false" customHeight="false" outlineLevel="0" collapsed="false">
      <c r="A3" s="3" t="s">
        <v>4</v>
      </c>
      <c r="B3" s="3" t="s">
        <v>6</v>
      </c>
      <c r="C3" s="5" t="n">
        <f aca="false">SUMPRODUCT((Data!$A$2:$A$909=DATE(2026,7,20))*EXACT(Data!$B$2:$B$909,$A3)*EXACT(Data!$C$2:$C$909,$B3)*Data!$D$2:$D$909)</f>
        <v>15</v>
      </c>
      <c r="D3" s="5" t="n">
        <f aca="false">SUMPRODUCT((Data!$A$2:$A$909=DATE(2026,7,21))*EXACT(Data!$B$2:$B$909,$A3)*EXACT(Data!$C$2:$C$909,$B3)*Data!$D$2:$D$909)</f>
        <v>3</v>
      </c>
      <c r="E3" s="5" t="n">
        <f aca="false">SUMPRODUCT((Data!$A$2:$A$909=DATE(2026,7,22))*EXACT(Data!$B$2:$B$909,$A3)*EXACT(Data!$C$2:$C$909,$B3)*Data!$D$2:$D$909)</f>
        <v>11</v>
      </c>
      <c r="F3" s="5" t="n">
        <f aca="false">SUMPRODUCT((Data!$A$2:$A$909=DATE(2026,7,23))*EXACT(Data!$B$2:$B$909,$A3)*EXACT(Data!$C$2:$C$909,$B3)*Data!$D$2:$D$909)</f>
        <v>13</v>
      </c>
      <c r="G3" s="5" t="n">
        <f aca="false">SUMPRODUCT((Data!$A$2:$A$909=DATE(2026,7,24))*EXACT(Data!$B$2:$B$909,$A3)*EXACT(Data!$C$2:$C$909,$B3)*Data!$D$2:$D$909)</f>
        <v>7</v>
      </c>
      <c r="H3" s="5" t="n">
        <f aca="false">SUMPRODUCT((Data!$A$2:$A$909=DATE(2026,7,25))*EXACT(Data!$B$2:$B$909,$A3)*EXACT(Data!$C$2:$C$909,$B3)*Data!$D$2:$D$909)</f>
        <v>0</v>
      </c>
      <c r="I3" s="5" t="n">
        <f aca="false">SUMPRODUCT((Data!$A$2:$A$909=DATE(2026,7,26))*EXACT(Data!$B$2:$B$909,$A3)*EXACT(Data!$C$2:$C$909,$B3)*Data!$D$2:$D$909)</f>
        <v>0</v>
      </c>
      <c r="J3" s="6" t="n">
        <f aca="false">SUM(C3:I3)</f>
        <v>49</v>
      </c>
      <c r="K3" s="7" t="n">
        <f aca="false">IF(C3=0,"",(I3-C3)/C3)</f>
        <v>-1</v>
      </c>
    </row>
    <row r="4" customFormat="false" ht="15" hidden="false" customHeight="false" outlineLevel="0" collapsed="false">
      <c r="A4" s="3" t="s">
        <v>4</v>
      </c>
      <c r="B4" s="3" t="s">
        <v>7</v>
      </c>
      <c r="C4" s="5" t="n">
        <f aca="false">SUMPRODUCT((Data!$A$2:$A$909=DATE(2026,7,20))*EXACT(Data!$B$2:$B$909,$A4)*EXACT(Data!$C$2:$C$909,$B4)*Data!$D$2:$D$909)</f>
        <v>12</v>
      </c>
      <c r="D4" s="5" t="n">
        <f aca="false">SUMPRODUCT((Data!$A$2:$A$909=DATE(2026,7,21))*EXACT(Data!$B$2:$B$909,$A4)*EXACT(Data!$C$2:$C$909,$B4)*Data!$D$2:$D$909)</f>
        <v>1</v>
      </c>
      <c r="E4" s="5" t="n">
        <f aca="false">SUMPRODUCT((Data!$A$2:$A$909=DATE(2026,7,22))*EXACT(Data!$B$2:$B$909,$A4)*EXACT(Data!$C$2:$C$909,$B4)*Data!$D$2:$D$909)</f>
        <v>8</v>
      </c>
      <c r="F4" s="5" t="n">
        <f aca="false">SUMPRODUCT((Data!$A$2:$A$909=DATE(2026,7,23))*EXACT(Data!$B$2:$B$909,$A4)*EXACT(Data!$C$2:$C$909,$B4)*Data!$D$2:$D$909)</f>
        <v>1</v>
      </c>
      <c r="G4" s="5" t="n">
        <f aca="false">SUMPRODUCT((Data!$A$2:$A$909=DATE(2026,7,24))*EXACT(Data!$B$2:$B$909,$A4)*EXACT(Data!$C$2:$C$909,$B4)*Data!$D$2:$D$909)</f>
        <v>0</v>
      </c>
      <c r="H4" s="5" t="n">
        <f aca="false">SUMPRODUCT((Data!$A$2:$A$909=DATE(2026,7,25))*EXACT(Data!$B$2:$B$909,$A4)*EXACT(Data!$C$2:$C$909,$B4)*Data!$D$2:$D$909)</f>
        <v>0</v>
      </c>
      <c r="I4" s="5" t="n">
        <f aca="false">SUMPRODUCT((Data!$A$2:$A$909=DATE(2026,7,26))*EXACT(Data!$B$2:$B$909,$A4)*EXACT(Data!$C$2:$C$909,$B4)*Data!$D$2:$D$909)</f>
        <v>0</v>
      </c>
      <c r="J4" s="6" t="n">
        <f aca="false">SUM(C4:I4)</f>
        <v>22</v>
      </c>
      <c r="K4" s="7" t="n">
        <f aca="false">IF(C4=0,"",(I4-C4)/C4)</f>
        <v>-1</v>
      </c>
    </row>
    <row r="5" customFormat="false" ht="15" hidden="false" customHeight="false" outlineLevel="0" collapsed="false">
      <c r="A5" s="3" t="s">
        <v>4</v>
      </c>
      <c r="B5" s="3" t="s">
        <v>8</v>
      </c>
      <c r="C5" s="5" t="n">
        <f aca="false">SUMPRODUCT((Data!$A$2:$A$909=DATE(2026,7,20))*EXACT(Data!$B$2:$B$909,$A5)*EXACT(Data!$C$2:$C$909,$B5)*Data!$D$2:$D$909)</f>
        <v>511</v>
      </c>
      <c r="D5" s="5" t="n">
        <f aca="false">SUMPRODUCT((Data!$A$2:$A$909=DATE(2026,7,21))*EXACT(Data!$B$2:$B$909,$A5)*EXACT(Data!$C$2:$C$909,$B5)*Data!$D$2:$D$909)</f>
        <v>460</v>
      </c>
      <c r="E5" s="5" t="n">
        <f aca="false">SUMPRODUCT((Data!$A$2:$A$909=DATE(2026,7,22))*EXACT(Data!$B$2:$B$909,$A5)*EXACT(Data!$C$2:$C$909,$B5)*Data!$D$2:$D$909)</f>
        <v>455</v>
      </c>
      <c r="F5" s="5" t="n">
        <f aca="false">SUMPRODUCT((Data!$A$2:$A$909=DATE(2026,7,23))*EXACT(Data!$B$2:$B$909,$A5)*EXACT(Data!$C$2:$C$909,$B5)*Data!$D$2:$D$909)</f>
        <v>427</v>
      </c>
      <c r="G5" s="5" t="n">
        <f aca="false">SUMPRODUCT((Data!$A$2:$A$909=DATE(2026,7,24))*EXACT(Data!$B$2:$B$909,$A5)*EXACT(Data!$C$2:$C$909,$B5)*Data!$D$2:$D$909)</f>
        <v>617</v>
      </c>
      <c r="H5" s="5" t="n">
        <f aca="false">SUMPRODUCT((Data!$A$2:$A$909=DATE(2026,7,25))*EXACT(Data!$B$2:$B$909,$A5)*EXACT(Data!$C$2:$C$909,$B5)*Data!$D$2:$D$909)</f>
        <v>65</v>
      </c>
      <c r="I5" s="5" t="n">
        <f aca="false">SUMPRODUCT((Data!$A$2:$A$909=DATE(2026,7,26))*EXACT(Data!$B$2:$B$909,$A5)*EXACT(Data!$C$2:$C$909,$B5)*Data!$D$2:$D$909)</f>
        <v>102</v>
      </c>
      <c r="J5" s="6" t="n">
        <f aca="false">SUM(C5:I5)</f>
        <v>2637</v>
      </c>
      <c r="K5" s="7" t="n">
        <f aca="false">IF(C5=0,"",(I5-C5)/C5)</f>
        <v>-0.800391389432485</v>
      </c>
    </row>
    <row r="6" customFormat="false" ht="15" hidden="false" customHeight="false" outlineLevel="0" collapsed="false">
      <c r="A6" s="3" t="s">
        <v>4</v>
      </c>
      <c r="B6" s="3" t="s">
        <v>9</v>
      </c>
      <c r="C6" s="5" t="n">
        <f aca="false">SUMPRODUCT((Data!$A$2:$A$909=DATE(2026,7,20))*EXACT(Data!$B$2:$B$909,$A6)*EXACT(Data!$C$2:$C$909,$B6)*Data!$D$2:$D$909)</f>
        <v>1</v>
      </c>
      <c r="D6" s="5" t="n">
        <f aca="false">SUMPRODUCT((Data!$A$2:$A$909=DATE(2026,7,21))*EXACT(Data!$B$2:$B$909,$A6)*EXACT(Data!$C$2:$C$909,$B6)*Data!$D$2:$D$909)</f>
        <v>0</v>
      </c>
      <c r="E6" s="5" t="n">
        <f aca="false">SUMPRODUCT((Data!$A$2:$A$909=DATE(2026,7,22))*EXACT(Data!$B$2:$B$909,$A6)*EXACT(Data!$C$2:$C$909,$B6)*Data!$D$2:$D$909)</f>
        <v>0</v>
      </c>
      <c r="F6" s="5" t="n">
        <f aca="false">SUMPRODUCT((Data!$A$2:$A$909=DATE(2026,7,23))*EXACT(Data!$B$2:$B$909,$A6)*EXACT(Data!$C$2:$C$909,$B6)*Data!$D$2:$D$909)</f>
        <v>0</v>
      </c>
      <c r="G6" s="5" t="n">
        <f aca="false">SUMPRODUCT((Data!$A$2:$A$909=DATE(2026,7,24))*EXACT(Data!$B$2:$B$909,$A6)*EXACT(Data!$C$2:$C$909,$B6)*Data!$D$2:$D$909)</f>
        <v>0</v>
      </c>
      <c r="H6" s="5" t="n">
        <f aca="false">SUMPRODUCT((Data!$A$2:$A$909=DATE(2026,7,25))*EXACT(Data!$B$2:$B$909,$A6)*EXACT(Data!$C$2:$C$909,$B6)*Data!$D$2:$D$909)</f>
        <v>0</v>
      </c>
      <c r="I6" s="5" t="n">
        <f aca="false">SUMPRODUCT((Data!$A$2:$A$909=DATE(2026,7,26))*EXACT(Data!$B$2:$B$909,$A6)*EXACT(Data!$C$2:$C$909,$B6)*Data!$D$2:$D$909)</f>
        <v>0</v>
      </c>
      <c r="J6" s="6" t="n">
        <f aca="false">SUM(C6:I6)</f>
        <v>1</v>
      </c>
      <c r="K6" s="7" t="n">
        <f aca="false">IF(C6=0,"",(I6-C6)/C6)</f>
        <v>-1</v>
      </c>
    </row>
    <row r="7" customFormat="false" ht="15" hidden="false" customHeight="false" outlineLevel="0" collapsed="false">
      <c r="A7" s="3" t="s">
        <v>112</v>
      </c>
      <c r="B7" s="3" t="s">
        <v>23</v>
      </c>
      <c r="C7" s="5" t="n">
        <f aca="false">SUMPRODUCT((Data!$A$2:$A$909=DATE(2026,7,20))*EXACT(Data!$B$2:$B$909,$A7)*EXACT(Data!$C$2:$C$909,$B7)*Data!$D$2:$D$909)</f>
        <v>0</v>
      </c>
      <c r="D7" s="5" t="n">
        <f aca="false">SUMPRODUCT((Data!$A$2:$A$909=DATE(2026,7,21))*EXACT(Data!$B$2:$B$909,$A7)*EXACT(Data!$C$2:$C$909,$B7)*Data!$D$2:$D$909)</f>
        <v>0</v>
      </c>
      <c r="E7" s="5" t="n">
        <f aca="false">SUMPRODUCT((Data!$A$2:$A$909=DATE(2026,7,22))*EXACT(Data!$B$2:$B$909,$A7)*EXACT(Data!$C$2:$C$909,$B7)*Data!$D$2:$D$909)</f>
        <v>2</v>
      </c>
      <c r="F7" s="5" t="n">
        <f aca="false">SUMPRODUCT((Data!$A$2:$A$909=DATE(2026,7,23))*EXACT(Data!$B$2:$B$909,$A7)*EXACT(Data!$C$2:$C$909,$B7)*Data!$D$2:$D$909)</f>
        <v>2</v>
      </c>
      <c r="G7" s="5" t="n">
        <f aca="false">SUMPRODUCT((Data!$A$2:$A$909=DATE(2026,7,24))*EXACT(Data!$B$2:$B$909,$A7)*EXACT(Data!$C$2:$C$909,$B7)*Data!$D$2:$D$909)</f>
        <v>0</v>
      </c>
      <c r="H7" s="5" t="n">
        <f aca="false">SUMPRODUCT((Data!$A$2:$A$909=DATE(2026,7,25))*EXACT(Data!$B$2:$B$909,$A7)*EXACT(Data!$C$2:$C$909,$B7)*Data!$D$2:$D$909)</f>
        <v>0</v>
      </c>
      <c r="I7" s="5" t="n">
        <f aca="false">SUMPRODUCT((Data!$A$2:$A$909=DATE(2026,7,26))*EXACT(Data!$B$2:$B$909,$A7)*EXACT(Data!$C$2:$C$909,$B7)*Data!$D$2:$D$909)</f>
        <v>6</v>
      </c>
      <c r="J7" s="6" t="n">
        <f aca="false">SUM(C7:I7)</f>
        <v>10</v>
      </c>
      <c r="K7" s="7" t="str">
        <f aca="false">IF(C7=0,"",(I7-C7)/C7)</f>
        <v/>
      </c>
    </row>
    <row r="8" customFormat="false" ht="15" hidden="false" customHeight="false" outlineLevel="0" collapsed="false">
      <c r="A8" s="3" t="s">
        <v>10</v>
      </c>
      <c r="B8" s="3" t="s">
        <v>14</v>
      </c>
      <c r="C8" s="5" t="n">
        <f aca="false">SUMPRODUCT((Data!$A$2:$A$909=DATE(2026,7,20))*EXACT(Data!$B$2:$B$909,$A8)*EXACT(Data!$C$2:$C$909,$B8)*Data!$D$2:$D$909)</f>
        <v>0</v>
      </c>
      <c r="D8" s="5" t="n">
        <f aca="false">SUMPRODUCT((Data!$A$2:$A$909=DATE(2026,7,21))*EXACT(Data!$B$2:$B$909,$A8)*EXACT(Data!$C$2:$C$909,$B8)*Data!$D$2:$D$909)</f>
        <v>0</v>
      </c>
      <c r="E8" s="5" t="n">
        <f aca="false">SUMPRODUCT((Data!$A$2:$A$909=DATE(2026,7,22))*EXACT(Data!$B$2:$B$909,$A8)*EXACT(Data!$C$2:$C$909,$B8)*Data!$D$2:$D$909)</f>
        <v>3</v>
      </c>
      <c r="F8" s="5" t="n">
        <f aca="false">SUMPRODUCT((Data!$A$2:$A$909=DATE(2026,7,23))*EXACT(Data!$B$2:$B$909,$A8)*EXACT(Data!$C$2:$C$909,$B8)*Data!$D$2:$D$909)</f>
        <v>2</v>
      </c>
      <c r="G8" s="5" t="n">
        <f aca="false">SUMPRODUCT((Data!$A$2:$A$909=DATE(2026,7,24))*EXACT(Data!$B$2:$B$909,$A8)*EXACT(Data!$C$2:$C$909,$B8)*Data!$D$2:$D$909)</f>
        <v>0</v>
      </c>
      <c r="H8" s="5" t="n">
        <f aca="false">SUMPRODUCT((Data!$A$2:$A$909=DATE(2026,7,25))*EXACT(Data!$B$2:$B$909,$A8)*EXACT(Data!$C$2:$C$909,$B8)*Data!$D$2:$D$909)</f>
        <v>0</v>
      </c>
      <c r="I8" s="5" t="n">
        <f aca="false">SUMPRODUCT((Data!$A$2:$A$909=DATE(2026,7,26))*EXACT(Data!$B$2:$B$909,$A8)*EXACT(Data!$C$2:$C$909,$B8)*Data!$D$2:$D$909)</f>
        <v>6</v>
      </c>
      <c r="J8" s="6" t="n">
        <f aca="false">SUM(C8:I8)</f>
        <v>11</v>
      </c>
      <c r="K8" s="7" t="str">
        <f aca="false">IF(C8=0,"",(I8-C8)/C8)</f>
        <v/>
      </c>
    </row>
    <row r="9" customFormat="false" ht="15" hidden="false" customHeight="false" outlineLevel="0" collapsed="false">
      <c r="A9" s="3" t="s">
        <v>10</v>
      </c>
      <c r="B9" s="3" t="s">
        <v>26</v>
      </c>
      <c r="C9" s="5" t="n">
        <f aca="false">SUMPRODUCT((Data!$A$2:$A$909=DATE(2026,7,20))*EXACT(Data!$B$2:$B$909,$A9)*EXACT(Data!$C$2:$C$909,$B9)*Data!$D$2:$D$909)</f>
        <v>0</v>
      </c>
      <c r="D9" s="5" t="n">
        <f aca="false">SUMPRODUCT((Data!$A$2:$A$909=DATE(2026,7,21))*EXACT(Data!$B$2:$B$909,$A9)*EXACT(Data!$C$2:$C$909,$B9)*Data!$D$2:$D$909)</f>
        <v>0</v>
      </c>
      <c r="E9" s="5" t="n">
        <f aca="false">SUMPRODUCT((Data!$A$2:$A$909=DATE(2026,7,22))*EXACT(Data!$B$2:$B$909,$A9)*EXACT(Data!$C$2:$C$909,$B9)*Data!$D$2:$D$909)</f>
        <v>1</v>
      </c>
      <c r="F9" s="5" t="n">
        <f aca="false">SUMPRODUCT((Data!$A$2:$A$909=DATE(2026,7,23))*EXACT(Data!$B$2:$B$909,$A9)*EXACT(Data!$C$2:$C$909,$B9)*Data!$D$2:$D$909)</f>
        <v>1</v>
      </c>
      <c r="G9" s="5" t="n">
        <f aca="false">SUMPRODUCT((Data!$A$2:$A$909=DATE(2026,7,24))*EXACT(Data!$B$2:$B$909,$A9)*EXACT(Data!$C$2:$C$909,$B9)*Data!$D$2:$D$909)</f>
        <v>0</v>
      </c>
      <c r="H9" s="5" t="n">
        <f aca="false">SUMPRODUCT((Data!$A$2:$A$909=DATE(2026,7,25))*EXACT(Data!$B$2:$B$909,$A9)*EXACT(Data!$C$2:$C$909,$B9)*Data!$D$2:$D$909)</f>
        <v>0</v>
      </c>
      <c r="I9" s="5" t="n">
        <f aca="false">SUMPRODUCT((Data!$A$2:$A$909=DATE(2026,7,26))*EXACT(Data!$B$2:$B$909,$A9)*EXACT(Data!$C$2:$C$909,$B9)*Data!$D$2:$D$909)</f>
        <v>2</v>
      </c>
      <c r="J9" s="6" t="n">
        <f aca="false">SUM(C9:I9)</f>
        <v>4</v>
      </c>
      <c r="K9" s="7" t="str">
        <f aca="false">IF(C9=0,"",(I9-C9)/C9)</f>
        <v/>
      </c>
    </row>
    <row r="10" customFormat="false" ht="15" hidden="false" customHeight="false" outlineLevel="0" collapsed="false">
      <c r="A10" s="3" t="s">
        <v>10</v>
      </c>
      <c r="B10" s="3" t="s">
        <v>28</v>
      </c>
      <c r="C10" s="5" t="n">
        <f aca="false">SUMPRODUCT((Data!$A$2:$A$909=DATE(2026,7,20))*EXACT(Data!$B$2:$B$909,$A10)*EXACT(Data!$C$2:$C$909,$B10)*Data!$D$2:$D$909)</f>
        <v>0</v>
      </c>
      <c r="D10" s="5" t="n">
        <f aca="false">SUMPRODUCT((Data!$A$2:$A$909=DATE(2026,7,21))*EXACT(Data!$B$2:$B$909,$A10)*EXACT(Data!$C$2:$C$909,$B10)*Data!$D$2:$D$909)</f>
        <v>0</v>
      </c>
      <c r="E10" s="5" t="n">
        <f aca="false">SUMPRODUCT((Data!$A$2:$A$909=DATE(2026,7,22))*EXACT(Data!$B$2:$B$909,$A10)*EXACT(Data!$C$2:$C$909,$B10)*Data!$D$2:$D$909)</f>
        <v>1</v>
      </c>
      <c r="F10" s="5" t="n">
        <f aca="false">SUMPRODUCT((Data!$A$2:$A$909=DATE(2026,7,23))*EXACT(Data!$B$2:$B$909,$A10)*EXACT(Data!$C$2:$C$909,$B10)*Data!$D$2:$D$909)</f>
        <v>1</v>
      </c>
      <c r="G10" s="5" t="n">
        <f aca="false">SUMPRODUCT((Data!$A$2:$A$909=DATE(2026,7,24))*EXACT(Data!$B$2:$B$909,$A10)*EXACT(Data!$C$2:$C$909,$B10)*Data!$D$2:$D$909)</f>
        <v>0</v>
      </c>
      <c r="H10" s="5" t="n">
        <f aca="false">SUMPRODUCT((Data!$A$2:$A$909=DATE(2026,7,25))*EXACT(Data!$B$2:$B$909,$A10)*EXACT(Data!$C$2:$C$909,$B10)*Data!$D$2:$D$909)</f>
        <v>0</v>
      </c>
      <c r="I10" s="5" t="n">
        <f aca="false">SUMPRODUCT((Data!$A$2:$A$909=DATE(2026,7,26))*EXACT(Data!$B$2:$B$909,$A10)*EXACT(Data!$C$2:$C$909,$B10)*Data!$D$2:$D$909)</f>
        <v>1</v>
      </c>
      <c r="J10" s="6" t="n">
        <f aca="false">SUM(C10:I10)</f>
        <v>3</v>
      </c>
      <c r="K10" s="7" t="str">
        <f aca="false">IF(C10=0,"",(I10-C10)/C10)</f>
        <v/>
      </c>
    </row>
    <row r="11" customFormat="false" ht="15" hidden="false" customHeight="false" outlineLevel="0" collapsed="false">
      <c r="A11" s="3" t="s">
        <v>10</v>
      </c>
      <c r="B11" s="3" t="s">
        <v>11</v>
      </c>
      <c r="C11" s="5" t="n">
        <f aca="false">SUMPRODUCT((Data!$A$2:$A$909=DATE(2026,7,20))*EXACT(Data!$B$2:$B$909,$A11)*EXACT(Data!$C$2:$C$909,$B11)*Data!$D$2:$D$909)</f>
        <v>7</v>
      </c>
      <c r="D11" s="5" t="n">
        <f aca="false">SUMPRODUCT((Data!$A$2:$A$909=DATE(2026,7,21))*EXACT(Data!$B$2:$B$909,$A11)*EXACT(Data!$C$2:$C$909,$B11)*Data!$D$2:$D$909)</f>
        <v>5</v>
      </c>
      <c r="E11" s="5" t="n">
        <f aca="false">SUMPRODUCT((Data!$A$2:$A$909=DATE(2026,7,22))*EXACT(Data!$B$2:$B$909,$A11)*EXACT(Data!$C$2:$C$909,$B11)*Data!$D$2:$D$909)</f>
        <v>11</v>
      </c>
      <c r="F11" s="5" t="n">
        <f aca="false">SUMPRODUCT((Data!$A$2:$A$909=DATE(2026,7,23))*EXACT(Data!$B$2:$B$909,$A11)*EXACT(Data!$C$2:$C$909,$B11)*Data!$D$2:$D$909)</f>
        <v>2</v>
      </c>
      <c r="G11" s="5" t="n">
        <f aca="false">SUMPRODUCT((Data!$A$2:$A$909=DATE(2026,7,24))*EXACT(Data!$B$2:$B$909,$A11)*EXACT(Data!$C$2:$C$909,$B11)*Data!$D$2:$D$909)</f>
        <v>6</v>
      </c>
      <c r="H11" s="5" t="n">
        <f aca="false">SUMPRODUCT((Data!$A$2:$A$909=DATE(2026,7,25))*EXACT(Data!$B$2:$B$909,$A11)*EXACT(Data!$C$2:$C$909,$B11)*Data!$D$2:$D$909)</f>
        <v>3</v>
      </c>
      <c r="I11" s="5" t="n">
        <f aca="false">SUMPRODUCT((Data!$A$2:$A$909=DATE(2026,7,26))*EXACT(Data!$B$2:$B$909,$A11)*EXACT(Data!$C$2:$C$909,$B11)*Data!$D$2:$D$909)</f>
        <v>5</v>
      </c>
      <c r="J11" s="6" t="n">
        <f aca="false">SUM(C11:I11)</f>
        <v>39</v>
      </c>
      <c r="K11" s="7" t="n">
        <f aca="false">IF(C11=0,"",(I11-C11)/C11)</f>
        <v>-0.285714285714286</v>
      </c>
    </row>
    <row r="12" customFormat="false" ht="15" hidden="false" customHeight="false" outlineLevel="0" collapsed="false">
      <c r="A12" s="3" t="s">
        <v>12</v>
      </c>
      <c r="B12" s="3" t="s">
        <v>14</v>
      </c>
      <c r="C12" s="5" t="n">
        <f aca="false">SUMPRODUCT((Data!$A$2:$A$909=DATE(2026,7,20))*EXACT(Data!$B$2:$B$909,$A12)*EXACT(Data!$C$2:$C$909,$B12)*Data!$D$2:$D$909)</f>
        <v>4</v>
      </c>
      <c r="D12" s="5" t="n">
        <f aca="false">SUMPRODUCT((Data!$A$2:$A$909=DATE(2026,7,21))*EXACT(Data!$B$2:$B$909,$A12)*EXACT(Data!$C$2:$C$909,$B12)*Data!$D$2:$D$909)</f>
        <v>4</v>
      </c>
      <c r="E12" s="5" t="n">
        <f aca="false">SUMPRODUCT((Data!$A$2:$A$909=DATE(2026,7,22))*EXACT(Data!$B$2:$B$909,$A12)*EXACT(Data!$C$2:$C$909,$B12)*Data!$D$2:$D$909)</f>
        <v>4</v>
      </c>
      <c r="F12" s="5" t="n">
        <f aca="false">SUMPRODUCT((Data!$A$2:$A$909=DATE(2026,7,23))*EXACT(Data!$B$2:$B$909,$A12)*EXACT(Data!$C$2:$C$909,$B12)*Data!$D$2:$D$909)</f>
        <v>4</v>
      </c>
      <c r="G12" s="5" t="n">
        <f aca="false">SUMPRODUCT((Data!$A$2:$A$909=DATE(2026,7,24))*EXACT(Data!$B$2:$B$909,$A12)*EXACT(Data!$C$2:$C$909,$B12)*Data!$D$2:$D$909)</f>
        <v>4</v>
      </c>
      <c r="H12" s="5" t="n">
        <f aca="false">SUMPRODUCT((Data!$A$2:$A$909=DATE(2026,7,25))*EXACT(Data!$B$2:$B$909,$A12)*EXACT(Data!$C$2:$C$909,$B12)*Data!$D$2:$D$909)</f>
        <v>4</v>
      </c>
      <c r="I12" s="5" t="n">
        <f aca="false">SUMPRODUCT((Data!$A$2:$A$909=DATE(2026,7,26))*EXACT(Data!$B$2:$B$909,$A12)*EXACT(Data!$C$2:$C$909,$B12)*Data!$D$2:$D$909)</f>
        <v>4</v>
      </c>
      <c r="J12" s="6" t="n">
        <f aca="false">SUM(C12:I12)</f>
        <v>28</v>
      </c>
      <c r="K12" s="7" t="n">
        <f aca="false">IF(C12=0,"",(I12-C12)/C12)</f>
        <v>0</v>
      </c>
    </row>
    <row r="13" customFormat="false" ht="15" hidden="false" customHeight="false" outlineLevel="0" collapsed="false">
      <c r="A13" s="3" t="s">
        <v>12</v>
      </c>
      <c r="B13" s="3" t="s">
        <v>13</v>
      </c>
      <c r="C13" s="5" t="n">
        <f aca="false">SUMPRODUCT((Data!$A$2:$A$909=DATE(2026,7,20))*EXACT(Data!$B$2:$B$909,$A13)*EXACT(Data!$C$2:$C$909,$B13)*Data!$D$2:$D$909)</f>
        <v>130238</v>
      </c>
      <c r="D13" s="5" t="n">
        <f aca="false">SUMPRODUCT((Data!$A$2:$A$909=DATE(2026,7,21))*EXACT(Data!$B$2:$B$909,$A13)*EXACT(Data!$C$2:$C$909,$B13)*Data!$D$2:$D$909)</f>
        <v>118085</v>
      </c>
      <c r="E13" s="5" t="n">
        <f aca="false">SUMPRODUCT((Data!$A$2:$A$909=DATE(2026,7,22))*EXACT(Data!$B$2:$B$909,$A13)*EXACT(Data!$C$2:$C$909,$B13)*Data!$D$2:$D$909)</f>
        <v>112992</v>
      </c>
      <c r="F13" s="5" t="n">
        <f aca="false">SUMPRODUCT((Data!$A$2:$A$909=DATE(2026,7,23))*EXACT(Data!$B$2:$B$909,$A13)*EXACT(Data!$C$2:$C$909,$B13)*Data!$D$2:$D$909)</f>
        <v>108922</v>
      </c>
      <c r="G13" s="5" t="n">
        <f aca="false">SUMPRODUCT((Data!$A$2:$A$909=DATE(2026,7,24))*EXACT(Data!$B$2:$B$909,$A13)*EXACT(Data!$C$2:$C$909,$B13)*Data!$D$2:$D$909)</f>
        <v>115880</v>
      </c>
      <c r="H13" s="5" t="n">
        <f aca="false">SUMPRODUCT((Data!$A$2:$A$909=DATE(2026,7,25))*EXACT(Data!$B$2:$B$909,$A13)*EXACT(Data!$C$2:$C$909,$B13)*Data!$D$2:$D$909)</f>
        <v>111368</v>
      </c>
      <c r="I13" s="5" t="n">
        <f aca="false">SUMPRODUCT((Data!$A$2:$A$909=DATE(2026,7,26))*EXACT(Data!$B$2:$B$909,$A13)*EXACT(Data!$C$2:$C$909,$B13)*Data!$D$2:$D$909)</f>
        <v>103866</v>
      </c>
      <c r="J13" s="6" t="n">
        <f aca="false">SUM(C13:I13)</f>
        <v>801351</v>
      </c>
      <c r="K13" s="7" t="n">
        <f aca="false">IF(C13=0,"",(I13-C13)/C13)</f>
        <v>-0.202490824490548</v>
      </c>
    </row>
    <row r="14" customFormat="false" ht="15" hidden="false" customHeight="false" outlineLevel="0" collapsed="false">
      <c r="A14" s="3" t="s">
        <v>15</v>
      </c>
      <c r="B14" s="3" t="s">
        <v>16</v>
      </c>
      <c r="C14" s="5" t="n">
        <f aca="false">SUMPRODUCT((Data!$A$2:$A$909=DATE(2026,7,20))*EXACT(Data!$B$2:$B$909,$A14)*EXACT(Data!$C$2:$C$909,$B14)*Data!$D$2:$D$909)</f>
        <v>35</v>
      </c>
      <c r="D14" s="5" t="n">
        <f aca="false">SUMPRODUCT((Data!$A$2:$A$909=DATE(2026,7,21))*EXACT(Data!$B$2:$B$909,$A14)*EXACT(Data!$C$2:$C$909,$B14)*Data!$D$2:$D$909)</f>
        <v>21</v>
      </c>
      <c r="E14" s="5" t="n">
        <f aca="false">SUMPRODUCT((Data!$A$2:$A$909=DATE(2026,7,22))*EXACT(Data!$B$2:$B$909,$A14)*EXACT(Data!$C$2:$C$909,$B14)*Data!$D$2:$D$909)</f>
        <v>31</v>
      </c>
      <c r="F14" s="5" t="n">
        <f aca="false">SUMPRODUCT((Data!$A$2:$A$909=DATE(2026,7,23))*EXACT(Data!$B$2:$B$909,$A14)*EXACT(Data!$C$2:$C$909,$B14)*Data!$D$2:$D$909)</f>
        <v>19</v>
      </c>
      <c r="G14" s="5" t="n">
        <f aca="false">SUMPRODUCT((Data!$A$2:$A$909=DATE(2026,7,24))*EXACT(Data!$B$2:$B$909,$A14)*EXACT(Data!$C$2:$C$909,$B14)*Data!$D$2:$D$909)</f>
        <v>12</v>
      </c>
      <c r="H14" s="5" t="n">
        <f aca="false">SUMPRODUCT((Data!$A$2:$A$909=DATE(2026,7,25))*EXACT(Data!$B$2:$B$909,$A14)*EXACT(Data!$C$2:$C$909,$B14)*Data!$D$2:$D$909)</f>
        <v>0</v>
      </c>
      <c r="I14" s="5" t="n">
        <f aca="false">SUMPRODUCT((Data!$A$2:$A$909=DATE(2026,7,26))*EXACT(Data!$B$2:$B$909,$A14)*EXACT(Data!$C$2:$C$909,$B14)*Data!$D$2:$D$909)</f>
        <v>0</v>
      </c>
      <c r="J14" s="6" t="n">
        <f aca="false">SUM(C14:I14)</f>
        <v>118</v>
      </c>
      <c r="K14" s="7" t="n">
        <f aca="false">IF(C14=0,"",(I14-C14)/C14)</f>
        <v>-1</v>
      </c>
    </row>
    <row r="15" customFormat="false" ht="15" hidden="false" customHeight="false" outlineLevel="0" collapsed="false">
      <c r="A15" s="3" t="s">
        <v>17</v>
      </c>
      <c r="B15" s="3" t="s">
        <v>16</v>
      </c>
      <c r="C15" s="5" t="n">
        <f aca="false">SUMPRODUCT((Data!$A$2:$A$909=DATE(2026,7,20))*EXACT(Data!$B$2:$B$909,$A15)*EXACT(Data!$C$2:$C$909,$B15)*Data!$D$2:$D$909)</f>
        <v>96</v>
      </c>
      <c r="D15" s="5" t="n">
        <f aca="false">SUMPRODUCT((Data!$A$2:$A$909=DATE(2026,7,21))*EXACT(Data!$B$2:$B$909,$A15)*EXACT(Data!$C$2:$C$909,$B15)*Data!$D$2:$D$909)</f>
        <v>107</v>
      </c>
      <c r="E15" s="5" t="n">
        <f aca="false">SUMPRODUCT((Data!$A$2:$A$909=DATE(2026,7,22))*EXACT(Data!$B$2:$B$909,$A15)*EXACT(Data!$C$2:$C$909,$B15)*Data!$D$2:$D$909)</f>
        <v>87</v>
      </c>
      <c r="F15" s="5" t="n">
        <f aca="false">SUMPRODUCT((Data!$A$2:$A$909=DATE(2026,7,23))*EXACT(Data!$B$2:$B$909,$A15)*EXACT(Data!$C$2:$C$909,$B15)*Data!$D$2:$D$909)</f>
        <v>94</v>
      </c>
      <c r="G15" s="5" t="n">
        <f aca="false">SUMPRODUCT((Data!$A$2:$A$909=DATE(2026,7,24))*EXACT(Data!$B$2:$B$909,$A15)*EXACT(Data!$C$2:$C$909,$B15)*Data!$D$2:$D$909)</f>
        <v>103</v>
      </c>
      <c r="H15" s="5" t="n">
        <f aca="false">SUMPRODUCT((Data!$A$2:$A$909=DATE(2026,7,25))*EXACT(Data!$B$2:$B$909,$A15)*EXACT(Data!$C$2:$C$909,$B15)*Data!$D$2:$D$909)</f>
        <v>0</v>
      </c>
      <c r="I15" s="5" t="n">
        <f aca="false">SUMPRODUCT((Data!$A$2:$A$909=DATE(2026,7,26))*EXACT(Data!$B$2:$B$909,$A15)*EXACT(Data!$C$2:$C$909,$B15)*Data!$D$2:$D$909)</f>
        <v>2</v>
      </c>
      <c r="J15" s="6" t="n">
        <f aca="false">SUM(C15:I15)</f>
        <v>489</v>
      </c>
      <c r="K15" s="7" t="n">
        <f aca="false">IF(C15=0,"",(I15-C15)/C15)</f>
        <v>-0.979166666666667</v>
      </c>
    </row>
    <row r="16" customFormat="false" ht="15" hidden="false" customHeight="false" outlineLevel="0" collapsed="false">
      <c r="A16" s="3" t="s">
        <v>18</v>
      </c>
      <c r="B16" s="3" t="s">
        <v>11</v>
      </c>
      <c r="C16" s="5" t="n">
        <f aca="false">SUMPRODUCT((Data!$A$2:$A$909=DATE(2026,7,20))*EXACT(Data!$B$2:$B$909,$A16)*EXACT(Data!$C$2:$C$909,$B16)*Data!$D$2:$D$909)</f>
        <v>323</v>
      </c>
      <c r="D16" s="5" t="n">
        <f aca="false">SUMPRODUCT((Data!$A$2:$A$909=DATE(2026,7,21))*EXACT(Data!$B$2:$B$909,$A16)*EXACT(Data!$C$2:$C$909,$B16)*Data!$D$2:$D$909)</f>
        <v>353</v>
      </c>
      <c r="E16" s="5" t="n">
        <f aca="false">SUMPRODUCT((Data!$A$2:$A$909=DATE(2026,7,22))*EXACT(Data!$B$2:$B$909,$A16)*EXACT(Data!$C$2:$C$909,$B16)*Data!$D$2:$D$909)</f>
        <v>289</v>
      </c>
      <c r="F16" s="5" t="n">
        <f aca="false">SUMPRODUCT((Data!$A$2:$A$909=DATE(2026,7,23))*EXACT(Data!$B$2:$B$909,$A16)*EXACT(Data!$C$2:$C$909,$B16)*Data!$D$2:$D$909)</f>
        <v>362</v>
      </c>
      <c r="G16" s="5" t="n">
        <f aca="false">SUMPRODUCT((Data!$A$2:$A$909=DATE(2026,7,24))*EXACT(Data!$B$2:$B$909,$A16)*EXACT(Data!$C$2:$C$909,$B16)*Data!$D$2:$D$909)</f>
        <v>462</v>
      </c>
      <c r="H16" s="5" t="n">
        <f aca="false">SUMPRODUCT((Data!$A$2:$A$909=DATE(2026,7,25))*EXACT(Data!$B$2:$B$909,$A16)*EXACT(Data!$C$2:$C$909,$B16)*Data!$D$2:$D$909)</f>
        <v>19</v>
      </c>
      <c r="I16" s="5" t="n">
        <f aca="false">SUMPRODUCT((Data!$A$2:$A$909=DATE(2026,7,26))*EXACT(Data!$B$2:$B$909,$A16)*EXACT(Data!$C$2:$C$909,$B16)*Data!$D$2:$D$909)</f>
        <v>8</v>
      </c>
      <c r="J16" s="6" t="n">
        <f aca="false">SUM(C16:I16)</f>
        <v>1816</v>
      </c>
      <c r="K16" s="7" t="n">
        <f aca="false">IF(C16=0,"",(I16-C16)/C16)</f>
        <v>-0.975232198142415</v>
      </c>
    </row>
    <row r="17" customFormat="false" ht="15" hidden="false" customHeight="false" outlineLevel="0" collapsed="false">
      <c r="A17" s="3" t="s">
        <v>19</v>
      </c>
      <c r="B17" s="3" t="s">
        <v>20</v>
      </c>
      <c r="C17" s="5" t="n">
        <f aca="false">SUMPRODUCT((Data!$A$2:$A$909=DATE(2026,7,20))*EXACT(Data!$B$2:$B$909,$A17)*EXACT(Data!$C$2:$C$909,$B17)*Data!$D$2:$D$909)</f>
        <v>56</v>
      </c>
      <c r="D17" s="5" t="n">
        <f aca="false">SUMPRODUCT((Data!$A$2:$A$909=DATE(2026,7,21))*EXACT(Data!$B$2:$B$909,$A17)*EXACT(Data!$C$2:$C$909,$B17)*Data!$D$2:$D$909)</f>
        <v>59</v>
      </c>
      <c r="E17" s="5" t="n">
        <f aca="false">SUMPRODUCT((Data!$A$2:$A$909=DATE(2026,7,22))*EXACT(Data!$B$2:$B$909,$A17)*EXACT(Data!$C$2:$C$909,$B17)*Data!$D$2:$D$909)</f>
        <v>59</v>
      </c>
      <c r="F17" s="5" t="n">
        <f aca="false">SUMPRODUCT((Data!$A$2:$A$909=DATE(2026,7,23))*EXACT(Data!$B$2:$B$909,$A17)*EXACT(Data!$C$2:$C$909,$B17)*Data!$D$2:$D$909)</f>
        <v>51</v>
      </c>
      <c r="G17" s="5" t="n">
        <f aca="false">SUMPRODUCT((Data!$A$2:$A$909=DATE(2026,7,24))*EXACT(Data!$B$2:$B$909,$A17)*EXACT(Data!$C$2:$C$909,$B17)*Data!$D$2:$D$909)</f>
        <v>58</v>
      </c>
      <c r="H17" s="5" t="n">
        <f aca="false">SUMPRODUCT((Data!$A$2:$A$909=DATE(2026,7,25))*EXACT(Data!$B$2:$B$909,$A17)*EXACT(Data!$C$2:$C$909,$B17)*Data!$D$2:$D$909)</f>
        <v>10</v>
      </c>
      <c r="I17" s="5" t="n">
        <f aca="false">SUMPRODUCT((Data!$A$2:$A$909=DATE(2026,7,26))*EXACT(Data!$B$2:$B$909,$A17)*EXACT(Data!$C$2:$C$909,$B17)*Data!$D$2:$D$909)</f>
        <v>8</v>
      </c>
      <c r="J17" s="6" t="n">
        <f aca="false">SUM(C17:I17)</f>
        <v>301</v>
      </c>
      <c r="K17" s="7" t="n">
        <f aca="false">IF(C17=0,"",(I17-C17)/C17)</f>
        <v>-0.857142857142857</v>
      </c>
    </row>
    <row r="18" customFormat="false" ht="15" hidden="false" customHeight="false" outlineLevel="0" collapsed="false">
      <c r="A18" s="3" t="s">
        <v>19</v>
      </c>
      <c r="B18" s="3" t="s">
        <v>21</v>
      </c>
      <c r="C18" s="5" t="n">
        <f aca="false">SUMPRODUCT((Data!$A$2:$A$909=DATE(2026,7,20))*EXACT(Data!$B$2:$B$909,$A18)*EXACT(Data!$C$2:$C$909,$B18)*Data!$D$2:$D$909)</f>
        <v>109</v>
      </c>
      <c r="D18" s="5" t="n">
        <f aca="false">SUMPRODUCT((Data!$A$2:$A$909=DATE(2026,7,21))*EXACT(Data!$B$2:$B$909,$A18)*EXACT(Data!$C$2:$C$909,$B18)*Data!$D$2:$D$909)</f>
        <v>131</v>
      </c>
      <c r="E18" s="5" t="n">
        <f aca="false">SUMPRODUCT((Data!$A$2:$A$909=DATE(2026,7,22))*EXACT(Data!$B$2:$B$909,$A18)*EXACT(Data!$C$2:$C$909,$B18)*Data!$D$2:$D$909)</f>
        <v>107</v>
      </c>
      <c r="F18" s="5" t="n">
        <f aca="false">SUMPRODUCT((Data!$A$2:$A$909=DATE(2026,7,23))*EXACT(Data!$B$2:$B$909,$A18)*EXACT(Data!$C$2:$C$909,$B18)*Data!$D$2:$D$909)</f>
        <v>136</v>
      </c>
      <c r="G18" s="5" t="n">
        <f aca="false">SUMPRODUCT((Data!$A$2:$A$909=DATE(2026,7,24))*EXACT(Data!$B$2:$B$909,$A18)*EXACT(Data!$C$2:$C$909,$B18)*Data!$D$2:$D$909)</f>
        <v>102</v>
      </c>
      <c r="H18" s="5" t="n">
        <f aca="false">SUMPRODUCT((Data!$A$2:$A$909=DATE(2026,7,25))*EXACT(Data!$B$2:$B$909,$A18)*EXACT(Data!$C$2:$C$909,$B18)*Data!$D$2:$D$909)</f>
        <v>20</v>
      </c>
      <c r="I18" s="5" t="n">
        <f aca="false">SUMPRODUCT((Data!$A$2:$A$909=DATE(2026,7,26))*EXACT(Data!$B$2:$B$909,$A18)*EXACT(Data!$C$2:$C$909,$B18)*Data!$D$2:$D$909)</f>
        <v>13</v>
      </c>
      <c r="J18" s="6" t="n">
        <f aca="false">SUM(C18:I18)</f>
        <v>618</v>
      </c>
      <c r="K18" s="7" t="n">
        <f aca="false">IF(C18=0,"",(I18-C18)/C18)</f>
        <v>-0.880733944954129</v>
      </c>
    </row>
    <row r="19" customFormat="false" ht="15" hidden="false" customHeight="false" outlineLevel="0" collapsed="false">
      <c r="A19" s="3" t="s">
        <v>19</v>
      </c>
      <c r="B19" s="3" t="s">
        <v>24</v>
      </c>
      <c r="C19" s="5" t="n">
        <f aca="false">SUMPRODUCT((Data!$A$2:$A$909=DATE(2026,7,20))*EXACT(Data!$B$2:$B$909,$A19)*EXACT(Data!$C$2:$C$909,$B19)*Data!$D$2:$D$909)</f>
        <v>130</v>
      </c>
      <c r="D19" s="5" t="n">
        <f aca="false">SUMPRODUCT((Data!$A$2:$A$909=DATE(2026,7,21))*EXACT(Data!$B$2:$B$909,$A19)*EXACT(Data!$C$2:$C$909,$B19)*Data!$D$2:$D$909)</f>
        <v>132</v>
      </c>
      <c r="E19" s="5" t="n">
        <f aca="false">SUMPRODUCT((Data!$A$2:$A$909=DATE(2026,7,22))*EXACT(Data!$B$2:$B$909,$A19)*EXACT(Data!$C$2:$C$909,$B19)*Data!$D$2:$D$909)</f>
        <v>140</v>
      </c>
      <c r="F19" s="5" t="n">
        <f aca="false">SUMPRODUCT((Data!$A$2:$A$909=DATE(2026,7,23))*EXACT(Data!$B$2:$B$909,$A19)*EXACT(Data!$C$2:$C$909,$B19)*Data!$D$2:$D$909)</f>
        <v>118</v>
      </c>
      <c r="G19" s="5" t="n">
        <f aca="false">SUMPRODUCT((Data!$A$2:$A$909=DATE(2026,7,24))*EXACT(Data!$B$2:$B$909,$A19)*EXACT(Data!$C$2:$C$909,$B19)*Data!$D$2:$D$909)</f>
        <v>142</v>
      </c>
      <c r="H19" s="5" t="n">
        <f aca="false">SUMPRODUCT((Data!$A$2:$A$909=DATE(2026,7,25))*EXACT(Data!$B$2:$B$909,$A19)*EXACT(Data!$C$2:$C$909,$B19)*Data!$D$2:$D$909)</f>
        <v>24</v>
      </c>
      <c r="I19" s="5" t="n">
        <f aca="false">SUMPRODUCT((Data!$A$2:$A$909=DATE(2026,7,26))*EXACT(Data!$B$2:$B$909,$A19)*EXACT(Data!$C$2:$C$909,$B19)*Data!$D$2:$D$909)</f>
        <v>20</v>
      </c>
      <c r="J19" s="6" t="n">
        <f aca="false">SUM(C19:I19)</f>
        <v>706</v>
      </c>
      <c r="K19" s="7" t="n">
        <f aca="false">IF(C19=0,"",(I19-C19)/C19)</f>
        <v>-0.846153846153846</v>
      </c>
    </row>
    <row r="20" customFormat="false" ht="15" hidden="false" customHeight="false" outlineLevel="0" collapsed="false">
      <c r="A20" s="3" t="s">
        <v>19</v>
      </c>
      <c r="B20" s="3" t="s">
        <v>22</v>
      </c>
      <c r="C20" s="5" t="n">
        <f aca="false">SUMPRODUCT((Data!$A$2:$A$909=DATE(2026,7,20))*EXACT(Data!$B$2:$B$909,$A20)*EXACT(Data!$C$2:$C$909,$B20)*Data!$D$2:$D$909)</f>
        <v>4</v>
      </c>
      <c r="D20" s="5" t="n">
        <f aca="false">SUMPRODUCT((Data!$A$2:$A$909=DATE(2026,7,21))*EXACT(Data!$B$2:$B$909,$A20)*EXACT(Data!$C$2:$C$909,$B20)*Data!$D$2:$D$909)</f>
        <v>1</v>
      </c>
      <c r="E20" s="5" t="n">
        <f aca="false">SUMPRODUCT((Data!$A$2:$A$909=DATE(2026,7,22))*EXACT(Data!$B$2:$B$909,$A20)*EXACT(Data!$C$2:$C$909,$B20)*Data!$D$2:$D$909)</f>
        <v>0</v>
      </c>
      <c r="F20" s="5" t="n">
        <f aca="false">SUMPRODUCT((Data!$A$2:$A$909=DATE(2026,7,23))*EXACT(Data!$B$2:$B$909,$A20)*EXACT(Data!$C$2:$C$909,$B20)*Data!$D$2:$D$909)</f>
        <v>2</v>
      </c>
      <c r="G20" s="5" t="n">
        <f aca="false">SUMPRODUCT((Data!$A$2:$A$909=DATE(2026,7,24))*EXACT(Data!$B$2:$B$909,$A20)*EXACT(Data!$C$2:$C$909,$B20)*Data!$D$2:$D$909)</f>
        <v>1</v>
      </c>
      <c r="H20" s="5" t="n">
        <f aca="false">SUMPRODUCT((Data!$A$2:$A$909=DATE(2026,7,25))*EXACT(Data!$B$2:$B$909,$A20)*EXACT(Data!$C$2:$C$909,$B20)*Data!$D$2:$D$909)</f>
        <v>0</v>
      </c>
      <c r="I20" s="5" t="n">
        <f aca="false">SUMPRODUCT((Data!$A$2:$A$909=DATE(2026,7,26))*EXACT(Data!$B$2:$B$909,$A20)*EXACT(Data!$C$2:$C$909,$B20)*Data!$D$2:$D$909)</f>
        <v>0</v>
      </c>
      <c r="J20" s="6" t="n">
        <f aca="false">SUM(C20:I20)</f>
        <v>8</v>
      </c>
      <c r="K20" s="7" t="n">
        <f aca="false">IF(C20=0,"",(I20-C20)/C20)</f>
        <v>-1</v>
      </c>
    </row>
    <row r="21" customFormat="false" ht="15" hidden="false" customHeight="false" outlineLevel="0" collapsed="false">
      <c r="A21" s="3" t="s">
        <v>19</v>
      </c>
      <c r="B21" s="3" t="s">
        <v>23</v>
      </c>
      <c r="C21" s="5" t="n">
        <f aca="false">SUMPRODUCT((Data!$A$2:$A$909=DATE(2026,7,20))*EXACT(Data!$B$2:$B$909,$A21)*EXACT(Data!$C$2:$C$909,$B21)*Data!$D$2:$D$909)</f>
        <v>134</v>
      </c>
      <c r="D21" s="5" t="n">
        <f aca="false">SUMPRODUCT((Data!$A$2:$A$909=DATE(2026,7,21))*EXACT(Data!$B$2:$B$909,$A21)*EXACT(Data!$C$2:$C$909,$B21)*Data!$D$2:$D$909)</f>
        <v>146</v>
      </c>
      <c r="E21" s="5" t="n">
        <f aca="false">SUMPRODUCT((Data!$A$2:$A$909=DATE(2026,7,22))*EXACT(Data!$B$2:$B$909,$A21)*EXACT(Data!$C$2:$C$909,$B21)*Data!$D$2:$D$909)</f>
        <v>144</v>
      </c>
      <c r="F21" s="5" t="n">
        <f aca="false">SUMPRODUCT((Data!$A$2:$A$909=DATE(2026,7,23))*EXACT(Data!$B$2:$B$909,$A21)*EXACT(Data!$C$2:$C$909,$B21)*Data!$D$2:$D$909)</f>
        <v>136</v>
      </c>
      <c r="G21" s="5" t="n">
        <f aca="false">SUMPRODUCT((Data!$A$2:$A$909=DATE(2026,7,24))*EXACT(Data!$B$2:$B$909,$A21)*EXACT(Data!$C$2:$C$909,$B21)*Data!$D$2:$D$909)</f>
        <v>148</v>
      </c>
      <c r="H21" s="5" t="n">
        <f aca="false">SUMPRODUCT((Data!$A$2:$A$909=DATE(2026,7,25))*EXACT(Data!$B$2:$B$909,$A21)*EXACT(Data!$C$2:$C$909,$B21)*Data!$D$2:$D$909)</f>
        <v>24</v>
      </c>
      <c r="I21" s="5" t="n">
        <f aca="false">SUMPRODUCT((Data!$A$2:$A$909=DATE(2026,7,26))*EXACT(Data!$B$2:$B$909,$A21)*EXACT(Data!$C$2:$C$909,$B21)*Data!$D$2:$D$909)</f>
        <v>26</v>
      </c>
      <c r="J21" s="6" t="n">
        <f aca="false">SUM(C21:I21)</f>
        <v>758</v>
      </c>
      <c r="K21" s="7" t="n">
        <f aca="false">IF(C21=0,"",(I21-C21)/C21)</f>
        <v>-0.805970149253731</v>
      </c>
    </row>
    <row r="22" customFormat="false" ht="15" hidden="false" customHeight="false" outlineLevel="0" collapsed="false">
      <c r="A22" s="3" t="s">
        <v>25</v>
      </c>
      <c r="B22" s="3" t="s">
        <v>14</v>
      </c>
      <c r="C22" s="5" t="n">
        <f aca="false">SUMPRODUCT((Data!$A$2:$A$909=DATE(2026,7,20))*EXACT(Data!$B$2:$B$909,$A22)*EXACT(Data!$C$2:$C$909,$B22)*Data!$D$2:$D$909)</f>
        <v>147</v>
      </c>
      <c r="D22" s="5" t="n">
        <f aca="false">SUMPRODUCT((Data!$A$2:$A$909=DATE(2026,7,21))*EXACT(Data!$B$2:$B$909,$A22)*EXACT(Data!$C$2:$C$909,$B22)*Data!$D$2:$D$909)</f>
        <v>144</v>
      </c>
      <c r="E22" s="5" t="n">
        <f aca="false">SUMPRODUCT((Data!$A$2:$A$909=DATE(2026,7,22))*EXACT(Data!$B$2:$B$909,$A22)*EXACT(Data!$C$2:$C$909,$B22)*Data!$D$2:$D$909)</f>
        <v>132</v>
      </c>
      <c r="F22" s="5" t="n">
        <f aca="false">SUMPRODUCT((Data!$A$2:$A$909=DATE(2026,7,23))*EXACT(Data!$B$2:$B$909,$A22)*EXACT(Data!$C$2:$C$909,$B22)*Data!$D$2:$D$909)</f>
        <v>139</v>
      </c>
      <c r="G22" s="5" t="n">
        <f aca="false">SUMPRODUCT((Data!$A$2:$A$909=DATE(2026,7,24))*EXACT(Data!$B$2:$B$909,$A22)*EXACT(Data!$C$2:$C$909,$B22)*Data!$D$2:$D$909)</f>
        <v>143</v>
      </c>
      <c r="H22" s="5" t="n">
        <f aca="false">SUMPRODUCT((Data!$A$2:$A$909=DATE(2026,7,25))*EXACT(Data!$B$2:$B$909,$A22)*EXACT(Data!$C$2:$C$909,$B22)*Data!$D$2:$D$909)</f>
        <v>28</v>
      </c>
      <c r="I22" s="5" t="n">
        <f aca="false">SUMPRODUCT((Data!$A$2:$A$909=DATE(2026,7,26))*EXACT(Data!$B$2:$B$909,$A22)*EXACT(Data!$C$2:$C$909,$B22)*Data!$D$2:$D$909)</f>
        <v>16</v>
      </c>
      <c r="J22" s="6" t="n">
        <f aca="false">SUM(C22:I22)</f>
        <v>749</v>
      </c>
      <c r="K22" s="7" t="n">
        <f aca="false">IF(C22=0,"",(I22-C22)/C22)</f>
        <v>-0.891156462585034</v>
      </c>
    </row>
    <row r="23" customFormat="false" ht="15" hidden="false" customHeight="false" outlineLevel="0" collapsed="false">
      <c r="A23" s="3" t="s">
        <v>25</v>
      </c>
      <c r="B23" s="3" t="s">
        <v>26</v>
      </c>
      <c r="C23" s="5" t="n">
        <f aca="false">SUMPRODUCT((Data!$A$2:$A$909=DATE(2026,7,20))*EXACT(Data!$B$2:$B$909,$A23)*EXACT(Data!$C$2:$C$909,$B23)*Data!$D$2:$D$909)</f>
        <v>82</v>
      </c>
      <c r="D23" s="5" t="n">
        <f aca="false">SUMPRODUCT((Data!$A$2:$A$909=DATE(2026,7,21))*EXACT(Data!$B$2:$B$909,$A23)*EXACT(Data!$C$2:$C$909,$B23)*Data!$D$2:$D$909)</f>
        <v>73</v>
      </c>
      <c r="E23" s="5" t="n">
        <f aca="false">SUMPRODUCT((Data!$A$2:$A$909=DATE(2026,7,22))*EXACT(Data!$B$2:$B$909,$A23)*EXACT(Data!$C$2:$C$909,$B23)*Data!$D$2:$D$909)</f>
        <v>61</v>
      </c>
      <c r="F23" s="5" t="n">
        <f aca="false">SUMPRODUCT((Data!$A$2:$A$909=DATE(2026,7,23))*EXACT(Data!$B$2:$B$909,$A23)*EXACT(Data!$C$2:$C$909,$B23)*Data!$D$2:$D$909)</f>
        <v>73</v>
      </c>
      <c r="G23" s="5" t="n">
        <f aca="false">SUMPRODUCT((Data!$A$2:$A$909=DATE(2026,7,24))*EXACT(Data!$B$2:$B$909,$A23)*EXACT(Data!$C$2:$C$909,$B23)*Data!$D$2:$D$909)</f>
        <v>70</v>
      </c>
      <c r="H23" s="5" t="n">
        <f aca="false">SUMPRODUCT((Data!$A$2:$A$909=DATE(2026,7,25))*EXACT(Data!$B$2:$B$909,$A23)*EXACT(Data!$C$2:$C$909,$B23)*Data!$D$2:$D$909)</f>
        <v>16</v>
      </c>
      <c r="I23" s="5" t="n">
        <f aca="false">SUMPRODUCT((Data!$A$2:$A$909=DATE(2026,7,26))*EXACT(Data!$B$2:$B$909,$A23)*EXACT(Data!$C$2:$C$909,$B23)*Data!$D$2:$D$909)</f>
        <v>6</v>
      </c>
      <c r="J23" s="6" t="n">
        <f aca="false">SUM(C23:I23)</f>
        <v>381</v>
      </c>
      <c r="K23" s="7" t="n">
        <f aca="false">IF(C23=0,"",(I23-C23)/C23)</f>
        <v>-0.926829268292683</v>
      </c>
    </row>
    <row r="24" customFormat="false" ht="15" hidden="false" customHeight="false" outlineLevel="0" collapsed="false">
      <c r="A24" s="3" t="s">
        <v>25</v>
      </c>
      <c r="B24" s="3" t="s">
        <v>11</v>
      </c>
      <c r="C24" s="5" t="n">
        <f aca="false">SUMPRODUCT((Data!$A$2:$A$909=DATE(2026,7,20))*EXACT(Data!$B$2:$B$909,$A24)*EXACT(Data!$C$2:$C$909,$B24)*Data!$D$2:$D$909)</f>
        <v>2194</v>
      </c>
      <c r="D24" s="5" t="n">
        <f aca="false">SUMPRODUCT((Data!$A$2:$A$909=DATE(2026,7,21))*EXACT(Data!$B$2:$B$909,$A24)*EXACT(Data!$C$2:$C$909,$B24)*Data!$D$2:$D$909)</f>
        <v>2383</v>
      </c>
      <c r="E24" s="5" t="n">
        <f aca="false">SUMPRODUCT((Data!$A$2:$A$909=DATE(2026,7,22))*EXACT(Data!$B$2:$B$909,$A24)*EXACT(Data!$C$2:$C$909,$B24)*Data!$D$2:$D$909)</f>
        <v>2160</v>
      </c>
      <c r="F24" s="5" t="n">
        <f aca="false">SUMPRODUCT((Data!$A$2:$A$909=DATE(2026,7,23))*EXACT(Data!$B$2:$B$909,$A24)*EXACT(Data!$C$2:$C$909,$B24)*Data!$D$2:$D$909)</f>
        <v>2177</v>
      </c>
      <c r="G24" s="5" t="n">
        <f aca="false">SUMPRODUCT((Data!$A$2:$A$909=DATE(2026,7,24))*EXACT(Data!$B$2:$B$909,$A24)*EXACT(Data!$C$2:$C$909,$B24)*Data!$D$2:$D$909)</f>
        <v>2187</v>
      </c>
      <c r="H24" s="5" t="n">
        <f aca="false">SUMPRODUCT((Data!$A$2:$A$909=DATE(2026,7,25))*EXACT(Data!$B$2:$B$909,$A24)*EXACT(Data!$C$2:$C$909,$B24)*Data!$D$2:$D$909)</f>
        <v>358</v>
      </c>
      <c r="I24" s="5" t="n">
        <f aca="false">SUMPRODUCT((Data!$A$2:$A$909=DATE(2026,7,26))*EXACT(Data!$B$2:$B$909,$A24)*EXACT(Data!$C$2:$C$909,$B24)*Data!$D$2:$D$909)</f>
        <v>291</v>
      </c>
      <c r="J24" s="6" t="n">
        <f aca="false">SUM(C24:I24)</f>
        <v>11750</v>
      </c>
      <c r="K24" s="7" t="n">
        <f aca="false">IF(C24=0,"",(I24-C24)/C24)</f>
        <v>-0.867365542388332</v>
      </c>
    </row>
    <row r="25" customFormat="false" ht="15" hidden="false" customHeight="false" outlineLevel="0" collapsed="false">
      <c r="A25" s="3" t="s">
        <v>27</v>
      </c>
      <c r="B25" s="3" t="s">
        <v>14</v>
      </c>
      <c r="C25" s="5" t="n">
        <f aca="false">SUMPRODUCT((Data!$A$2:$A$909=DATE(2026,7,20))*EXACT(Data!$B$2:$B$909,$A25)*EXACT(Data!$C$2:$C$909,$B25)*Data!$D$2:$D$909)</f>
        <v>66</v>
      </c>
      <c r="D25" s="5" t="n">
        <f aca="false">SUMPRODUCT((Data!$A$2:$A$909=DATE(2026,7,21))*EXACT(Data!$B$2:$B$909,$A25)*EXACT(Data!$C$2:$C$909,$B25)*Data!$D$2:$D$909)</f>
        <v>67</v>
      </c>
      <c r="E25" s="5" t="n">
        <f aca="false">SUMPRODUCT((Data!$A$2:$A$909=DATE(2026,7,22))*EXACT(Data!$B$2:$B$909,$A25)*EXACT(Data!$C$2:$C$909,$B25)*Data!$D$2:$D$909)</f>
        <v>71</v>
      </c>
      <c r="F25" s="5" t="n">
        <f aca="false">SUMPRODUCT((Data!$A$2:$A$909=DATE(2026,7,23))*EXACT(Data!$B$2:$B$909,$A25)*EXACT(Data!$C$2:$C$909,$B25)*Data!$D$2:$D$909)</f>
        <v>59</v>
      </c>
      <c r="G25" s="5" t="n">
        <f aca="false">SUMPRODUCT((Data!$A$2:$A$909=DATE(2026,7,24))*EXACT(Data!$B$2:$B$909,$A25)*EXACT(Data!$C$2:$C$909,$B25)*Data!$D$2:$D$909)</f>
        <v>72</v>
      </c>
      <c r="H25" s="5" t="n">
        <f aca="false">SUMPRODUCT((Data!$A$2:$A$909=DATE(2026,7,25))*EXACT(Data!$B$2:$B$909,$A25)*EXACT(Data!$C$2:$C$909,$B25)*Data!$D$2:$D$909)</f>
        <v>13</v>
      </c>
      <c r="I25" s="5" t="n">
        <f aca="false">SUMPRODUCT((Data!$A$2:$A$909=DATE(2026,7,26))*EXACT(Data!$B$2:$B$909,$A25)*EXACT(Data!$C$2:$C$909,$B25)*Data!$D$2:$D$909)</f>
        <v>11</v>
      </c>
      <c r="J25" s="6" t="n">
        <f aca="false">SUM(C25:I25)</f>
        <v>359</v>
      </c>
      <c r="K25" s="7" t="n">
        <f aca="false">IF(C25=0,"",(I25-C25)/C25)</f>
        <v>-0.833333333333333</v>
      </c>
    </row>
    <row r="26" customFormat="false" ht="15" hidden="false" customHeight="false" outlineLevel="0" collapsed="false">
      <c r="A26" s="3" t="s">
        <v>27</v>
      </c>
      <c r="B26" s="3" t="s">
        <v>28</v>
      </c>
      <c r="C26" s="5" t="n">
        <f aca="false">SUMPRODUCT((Data!$A$2:$A$909=DATE(2026,7,20))*EXACT(Data!$B$2:$B$909,$A26)*EXACT(Data!$C$2:$C$909,$B26)*Data!$D$2:$D$909)</f>
        <v>70</v>
      </c>
      <c r="D26" s="5" t="n">
        <f aca="false">SUMPRODUCT((Data!$A$2:$A$909=DATE(2026,7,21))*EXACT(Data!$B$2:$B$909,$A26)*EXACT(Data!$C$2:$C$909,$B26)*Data!$D$2:$D$909)</f>
        <v>76</v>
      </c>
      <c r="E26" s="5" t="n">
        <f aca="false">SUMPRODUCT((Data!$A$2:$A$909=DATE(2026,7,22))*EXACT(Data!$B$2:$B$909,$A26)*EXACT(Data!$C$2:$C$909,$B26)*Data!$D$2:$D$909)</f>
        <v>74</v>
      </c>
      <c r="F26" s="5" t="n">
        <f aca="false">SUMPRODUCT((Data!$A$2:$A$909=DATE(2026,7,23))*EXACT(Data!$B$2:$B$909,$A26)*EXACT(Data!$C$2:$C$909,$B26)*Data!$D$2:$D$909)</f>
        <v>65</v>
      </c>
      <c r="G26" s="5" t="n">
        <f aca="false">SUMPRODUCT((Data!$A$2:$A$909=DATE(2026,7,24))*EXACT(Data!$B$2:$B$909,$A26)*EXACT(Data!$C$2:$C$909,$B26)*Data!$D$2:$D$909)</f>
        <v>77</v>
      </c>
      <c r="H26" s="5" t="n">
        <f aca="false">SUMPRODUCT((Data!$A$2:$A$909=DATE(2026,7,25))*EXACT(Data!$B$2:$B$909,$A26)*EXACT(Data!$C$2:$C$909,$B26)*Data!$D$2:$D$909)</f>
        <v>12</v>
      </c>
      <c r="I26" s="5" t="n">
        <f aca="false">SUMPRODUCT((Data!$A$2:$A$909=DATE(2026,7,26))*EXACT(Data!$B$2:$B$909,$A26)*EXACT(Data!$C$2:$C$909,$B26)*Data!$D$2:$D$909)</f>
        <v>13</v>
      </c>
      <c r="J26" s="6" t="n">
        <f aca="false">SUM(C26:I26)</f>
        <v>387</v>
      </c>
      <c r="K26" s="7" t="n">
        <f aca="false">IF(C26=0,"",(I26-C26)/C26)</f>
        <v>-0.814285714285714</v>
      </c>
    </row>
    <row r="27" customFormat="false" ht="15" hidden="false" customHeight="false" outlineLevel="0" collapsed="false">
      <c r="A27" s="3" t="s">
        <v>29</v>
      </c>
      <c r="B27" s="3" t="s">
        <v>16</v>
      </c>
      <c r="C27" s="5" t="n">
        <f aca="false">SUMPRODUCT((Data!$A$2:$A$909=DATE(2026,7,20))*EXACT(Data!$B$2:$B$909,$A27)*EXACT(Data!$C$2:$C$909,$B27)*Data!$D$2:$D$909)</f>
        <v>159</v>
      </c>
      <c r="D27" s="5" t="n">
        <f aca="false">SUMPRODUCT((Data!$A$2:$A$909=DATE(2026,7,21))*EXACT(Data!$B$2:$B$909,$A27)*EXACT(Data!$C$2:$C$909,$B27)*Data!$D$2:$D$909)</f>
        <v>203</v>
      </c>
      <c r="E27" s="5" t="n">
        <f aca="false">SUMPRODUCT((Data!$A$2:$A$909=DATE(2026,7,22))*EXACT(Data!$B$2:$B$909,$A27)*EXACT(Data!$C$2:$C$909,$B27)*Data!$D$2:$D$909)</f>
        <v>141</v>
      </c>
      <c r="F27" s="5" t="n">
        <f aca="false">SUMPRODUCT((Data!$A$2:$A$909=DATE(2026,7,23))*EXACT(Data!$B$2:$B$909,$A27)*EXACT(Data!$C$2:$C$909,$B27)*Data!$D$2:$D$909)</f>
        <v>143</v>
      </c>
      <c r="G27" s="5" t="n">
        <f aca="false">SUMPRODUCT((Data!$A$2:$A$909=DATE(2026,7,24))*EXACT(Data!$B$2:$B$909,$A27)*EXACT(Data!$C$2:$C$909,$B27)*Data!$D$2:$D$909)</f>
        <v>158</v>
      </c>
      <c r="H27" s="5" t="n">
        <f aca="false">SUMPRODUCT((Data!$A$2:$A$909=DATE(2026,7,25))*EXACT(Data!$B$2:$B$909,$A27)*EXACT(Data!$C$2:$C$909,$B27)*Data!$D$2:$D$909)</f>
        <v>0</v>
      </c>
      <c r="I27" s="5" t="n">
        <f aca="false">SUMPRODUCT((Data!$A$2:$A$909=DATE(2026,7,26))*EXACT(Data!$B$2:$B$909,$A27)*EXACT(Data!$C$2:$C$909,$B27)*Data!$D$2:$D$909)</f>
        <v>3</v>
      </c>
      <c r="J27" s="6" t="n">
        <f aca="false">SUM(C27:I27)</f>
        <v>807</v>
      </c>
      <c r="K27" s="7" t="n">
        <f aca="false">IF(C27=0,"",(I27-C27)/C27)</f>
        <v>-0.981132075471698</v>
      </c>
    </row>
    <row r="28" customFormat="false" ht="15" hidden="false" customHeight="false" outlineLevel="0" collapsed="false">
      <c r="A28" s="3" t="s">
        <v>30</v>
      </c>
      <c r="B28" s="3" t="s">
        <v>11</v>
      </c>
      <c r="C28" s="5" t="n">
        <f aca="false">SUMPRODUCT((Data!$A$2:$A$909=DATE(2026,7,20))*EXACT(Data!$B$2:$B$909,$A28)*EXACT(Data!$C$2:$C$909,$B28)*Data!$D$2:$D$909)</f>
        <v>11</v>
      </c>
      <c r="D28" s="5" t="n">
        <f aca="false">SUMPRODUCT((Data!$A$2:$A$909=DATE(2026,7,21))*EXACT(Data!$B$2:$B$909,$A28)*EXACT(Data!$C$2:$C$909,$B28)*Data!$D$2:$D$909)</f>
        <v>11</v>
      </c>
      <c r="E28" s="5" t="n">
        <f aca="false">SUMPRODUCT((Data!$A$2:$A$909=DATE(2026,7,22))*EXACT(Data!$B$2:$B$909,$A28)*EXACT(Data!$C$2:$C$909,$B28)*Data!$D$2:$D$909)</f>
        <v>11</v>
      </c>
      <c r="F28" s="5" t="n">
        <f aca="false">SUMPRODUCT((Data!$A$2:$A$909=DATE(2026,7,23))*EXACT(Data!$B$2:$B$909,$A28)*EXACT(Data!$C$2:$C$909,$B28)*Data!$D$2:$D$909)</f>
        <v>11</v>
      </c>
      <c r="G28" s="5" t="n">
        <f aca="false">SUMPRODUCT((Data!$A$2:$A$909=DATE(2026,7,24))*EXACT(Data!$B$2:$B$909,$A28)*EXACT(Data!$C$2:$C$909,$B28)*Data!$D$2:$D$909)</f>
        <v>10</v>
      </c>
      <c r="H28" s="5" t="n">
        <f aca="false">SUMPRODUCT((Data!$A$2:$A$909=DATE(2026,7,25))*EXACT(Data!$B$2:$B$909,$A28)*EXACT(Data!$C$2:$C$909,$B28)*Data!$D$2:$D$909)</f>
        <v>0</v>
      </c>
      <c r="I28" s="5" t="n">
        <f aca="false">SUMPRODUCT((Data!$A$2:$A$909=DATE(2026,7,26))*EXACT(Data!$B$2:$B$909,$A28)*EXACT(Data!$C$2:$C$909,$B28)*Data!$D$2:$D$909)</f>
        <v>0</v>
      </c>
      <c r="J28" s="6" t="n">
        <f aca="false">SUM(C28:I28)</f>
        <v>54</v>
      </c>
      <c r="K28" s="7" t="n">
        <f aca="false">IF(C28=0,"",(I28-C28)/C28)</f>
        <v>-1</v>
      </c>
    </row>
    <row r="29" customFormat="false" ht="15" hidden="false" customHeight="false" outlineLevel="0" collapsed="false">
      <c r="A29" s="3" t="s">
        <v>31</v>
      </c>
      <c r="B29" s="3" t="s">
        <v>32</v>
      </c>
      <c r="C29" s="5" t="n">
        <f aca="false">SUMPRODUCT((Data!$A$2:$A$909=DATE(2026,7,20))*EXACT(Data!$B$2:$B$909,$A29)*EXACT(Data!$C$2:$C$909,$B29)*Data!$D$2:$D$909)</f>
        <v>218</v>
      </c>
      <c r="D29" s="5" t="n">
        <f aca="false">SUMPRODUCT((Data!$A$2:$A$909=DATE(2026,7,21))*EXACT(Data!$B$2:$B$909,$A29)*EXACT(Data!$C$2:$C$909,$B29)*Data!$D$2:$D$909)</f>
        <v>153</v>
      </c>
      <c r="E29" s="5" t="n">
        <f aca="false">SUMPRODUCT((Data!$A$2:$A$909=DATE(2026,7,22))*EXACT(Data!$B$2:$B$909,$A29)*EXACT(Data!$C$2:$C$909,$B29)*Data!$D$2:$D$909)</f>
        <v>163</v>
      </c>
      <c r="F29" s="5" t="n">
        <f aca="false">SUMPRODUCT((Data!$A$2:$A$909=DATE(2026,7,23))*EXACT(Data!$B$2:$B$909,$A29)*EXACT(Data!$C$2:$C$909,$B29)*Data!$D$2:$D$909)</f>
        <v>172</v>
      </c>
      <c r="G29" s="5" t="n">
        <f aca="false">SUMPRODUCT((Data!$A$2:$A$909=DATE(2026,7,24))*EXACT(Data!$B$2:$B$909,$A29)*EXACT(Data!$C$2:$C$909,$B29)*Data!$D$2:$D$909)</f>
        <v>170</v>
      </c>
      <c r="H29" s="5" t="n">
        <f aca="false">SUMPRODUCT((Data!$A$2:$A$909=DATE(2026,7,25))*EXACT(Data!$B$2:$B$909,$A29)*EXACT(Data!$C$2:$C$909,$B29)*Data!$D$2:$D$909)</f>
        <v>84</v>
      </c>
      <c r="I29" s="5" t="n">
        <f aca="false">SUMPRODUCT((Data!$A$2:$A$909=DATE(2026,7,26))*EXACT(Data!$B$2:$B$909,$A29)*EXACT(Data!$C$2:$C$909,$B29)*Data!$D$2:$D$909)</f>
        <v>82</v>
      </c>
      <c r="J29" s="6" t="n">
        <f aca="false">SUM(C29:I29)</f>
        <v>1042</v>
      </c>
      <c r="K29" s="7" t="n">
        <f aca="false">IF(C29=0,"",(I29-C29)/C29)</f>
        <v>-0.623853211009174</v>
      </c>
    </row>
    <row r="30" customFormat="false" ht="15" hidden="false" customHeight="false" outlineLevel="0" collapsed="false">
      <c r="A30" s="3" t="s">
        <v>31</v>
      </c>
      <c r="B30" s="3" t="s">
        <v>20</v>
      </c>
      <c r="C30" s="5" t="n">
        <f aca="false">SUMPRODUCT((Data!$A$2:$A$909=DATE(2026,7,20))*EXACT(Data!$B$2:$B$909,$A30)*EXACT(Data!$C$2:$C$909,$B30)*Data!$D$2:$D$909)</f>
        <v>412</v>
      </c>
      <c r="D30" s="5" t="n">
        <f aca="false">SUMPRODUCT((Data!$A$2:$A$909=DATE(2026,7,21))*EXACT(Data!$B$2:$B$909,$A30)*EXACT(Data!$C$2:$C$909,$B30)*Data!$D$2:$D$909)</f>
        <v>374</v>
      </c>
      <c r="E30" s="5" t="n">
        <f aca="false">SUMPRODUCT((Data!$A$2:$A$909=DATE(2026,7,22))*EXACT(Data!$B$2:$B$909,$A30)*EXACT(Data!$C$2:$C$909,$B30)*Data!$D$2:$D$909)</f>
        <v>373</v>
      </c>
      <c r="F30" s="5" t="n">
        <f aca="false">SUMPRODUCT((Data!$A$2:$A$909=DATE(2026,7,23))*EXACT(Data!$B$2:$B$909,$A30)*EXACT(Data!$C$2:$C$909,$B30)*Data!$D$2:$D$909)</f>
        <v>369</v>
      </c>
      <c r="G30" s="5" t="n">
        <f aca="false">SUMPRODUCT((Data!$A$2:$A$909=DATE(2026,7,24))*EXACT(Data!$B$2:$B$909,$A30)*EXACT(Data!$C$2:$C$909,$B30)*Data!$D$2:$D$909)</f>
        <v>440</v>
      </c>
      <c r="H30" s="5" t="n">
        <f aca="false">SUMPRODUCT((Data!$A$2:$A$909=DATE(2026,7,25))*EXACT(Data!$B$2:$B$909,$A30)*EXACT(Data!$C$2:$C$909,$B30)*Data!$D$2:$D$909)</f>
        <v>161</v>
      </c>
      <c r="I30" s="5" t="n">
        <f aca="false">SUMPRODUCT((Data!$A$2:$A$909=DATE(2026,7,26))*EXACT(Data!$B$2:$B$909,$A30)*EXACT(Data!$C$2:$C$909,$B30)*Data!$D$2:$D$909)</f>
        <v>177</v>
      </c>
      <c r="J30" s="6" t="n">
        <f aca="false">SUM(C30:I30)</f>
        <v>2306</v>
      </c>
      <c r="K30" s="7" t="n">
        <f aca="false">IF(C30=0,"",(I30-C30)/C30)</f>
        <v>-0.570388349514563</v>
      </c>
    </row>
    <row r="31" customFormat="false" ht="15" hidden="false" customHeight="false" outlineLevel="0" collapsed="false">
      <c r="A31" s="3" t="s">
        <v>31</v>
      </c>
      <c r="B31" s="3" t="s">
        <v>35</v>
      </c>
      <c r="C31" s="5" t="n">
        <f aca="false">SUMPRODUCT((Data!$A$2:$A$909=DATE(2026,7,20))*EXACT(Data!$B$2:$B$909,$A31)*EXACT(Data!$C$2:$C$909,$B31)*Data!$D$2:$D$909)</f>
        <v>322</v>
      </c>
      <c r="D31" s="5" t="n">
        <f aca="false">SUMPRODUCT((Data!$A$2:$A$909=DATE(2026,7,21))*EXACT(Data!$B$2:$B$909,$A31)*EXACT(Data!$C$2:$C$909,$B31)*Data!$D$2:$D$909)</f>
        <v>330</v>
      </c>
      <c r="E31" s="5" t="n">
        <f aca="false">SUMPRODUCT((Data!$A$2:$A$909=DATE(2026,7,22))*EXACT(Data!$B$2:$B$909,$A31)*EXACT(Data!$C$2:$C$909,$B31)*Data!$D$2:$D$909)</f>
        <v>312</v>
      </c>
      <c r="F31" s="5" t="n">
        <f aca="false">SUMPRODUCT((Data!$A$2:$A$909=DATE(2026,7,23))*EXACT(Data!$B$2:$B$909,$A31)*EXACT(Data!$C$2:$C$909,$B31)*Data!$D$2:$D$909)</f>
        <v>276</v>
      </c>
      <c r="G31" s="5" t="n">
        <f aca="false">SUMPRODUCT((Data!$A$2:$A$909=DATE(2026,7,24))*EXACT(Data!$B$2:$B$909,$A31)*EXACT(Data!$C$2:$C$909,$B31)*Data!$D$2:$D$909)</f>
        <v>298</v>
      </c>
      <c r="H31" s="5" t="n">
        <f aca="false">SUMPRODUCT((Data!$A$2:$A$909=DATE(2026,7,25))*EXACT(Data!$B$2:$B$909,$A31)*EXACT(Data!$C$2:$C$909,$B31)*Data!$D$2:$D$909)</f>
        <v>8</v>
      </c>
      <c r="I31" s="5" t="n">
        <f aca="false">SUMPRODUCT((Data!$A$2:$A$909=DATE(2026,7,26))*EXACT(Data!$B$2:$B$909,$A31)*EXACT(Data!$C$2:$C$909,$B31)*Data!$D$2:$D$909)</f>
        <v>0</v>
      </c>
      <c r="J31" s="6" t="n">
        <f aca="false">SUM(C31:I31)</f>
        <v>1546</v>
      </c>
      <c r="K31" s="7" t="n">
        <f aca="false">IF(C31=0,"",(I31-C31)/C31)</f>
        <v>-1</v>
      </c>
    </row>
    <row r="32" customFormat="false" ht="15" hidden="false" customHeight="false" outlineLevel="0" collapsed="false">
      <c r="A32" s="3" t="s">
        <v>31</v>
      </c>
      <c r="B32" s="3" t="s">
        <v>24</v>
      </c>
      <c r="C32" s="5" t="n">
        <f aca="false">SUMPRODUCT((Data!$A$2:$A$909=DATE(2026,7,20))*EXACT(Data!$B$2:$B$909,$A32)*EXACT(Data!$C$2:$C$909,$B32)*Data!$D$2:$D$909)</f>
        <v>16</v>
      </c>
      <c r="D32" s="5" t="n">
        <f aca="false">SUMPRODUCT((Data!$A$2:$A$909=DATE(2026,7,21))*EXACT(Data!$B$2:$B$909,$A32)*EXACT(Data!$C$2:$C$909,$B32)*Data!$D$2:$D$909)</f>
        <v>4</v>
      </c>
      <c r="E32" s="5" t="n">
        <f aca="false">SUMPRODUCT((Data!$A$2:$A$909=DATE(2026,7,22))*EXACT(Data!$B$2:$B$909,$A32)*EXACT(Data!$C$2:$C$909,$B32)*Data!$D$2:$D$909)</f>
        <v>16</v>
      </c>
      <c r="F32" s="5" t="n">
        <f aca="false">SUMPRODUCT((Data!$A$2:$A$909=DATE(2026,7,23))*EXACT(Data!$B$2:$B$909,$A32)*EXACT(Data!$C$2:$C$909,$B32)*Data!$D$2:$D$909)</f>
        <v>8</v>
      </c>
      <c r="G32" s="5" t="n">
        <f aca="false">SUMPRODUCT((Data!$A$2:$A$909=DATE(2026,7,24))*EXACT(Data!$B$2:$B$909,$A32)*EXACT(Data!$C$2:$C$909,$B32)*Data!$D$2:$D$909)</f>
        <v>8</v>
      </c>
      <c r="H32" s="5" t="n">
        <f aca="false">SUMPRODUCT((Data!$A$2:$A$909=DATE(2026,7,25))*EXACT(Data!$B$2:$B$909,$A32)*EXACT(Data!$C$2:$C$909,$B32)*Data!$D$2:$D$909)</f>
        <v>0</v>
      </c>
      <c r="I32" s="5" t="n">
        <f aca="false">SUMPRODUCT((Data!$A$2:$A$909=DATE(2026,7,26))*EXACT(Data!$B$2:$B$909,$A32)*EXACT(Data!$C$2:$C$909,$B32)*Data!$D$2:$D$909)</f>
        <v>0</v>
      </c>
      <c r="J32" s="6" t="n">
        <f aca="false">SUM(C32:I32)</f>
        <v>52</v>
      </c>
      <c r="K32" s="7" t="n">
        <f aca="false">IF(C32=0,"",(I32-C32)/C32)</f>
        <v>-1</v>
      </c>
    </row>
    <row r="33" customFormat="false" ht="15" hidden="false" customHeight="false" outlineLevel="0" collapsed="false">
      <c r="A33" s="3" t="s">
        <v>31</v>
      </c>
      <c r="B33" s="3" t="s">
        <v>33</v>
      </c>
      <c r="C33" s="5" t="n">
        <f aca="false">SUMPRODUCT((Data!$A$2:$A$909=DATE(2026,7,20))*EXACT(Data!$B$2:$B$909,$A33)*EXACT(Data!$C$2:$C$909,$B33)*Data!$D$2:$D$909)</f>
        <v>3477</v>
      </c>
      <c r="D33" s="5" t="n">
        <f aca="false">SUMPRODUCT((Data!$A$2:$A$909=DATE(2026,7,21))*EXACT(Data!$B$2:$B$909,$A33)*EXACT(Data!$C$2:$C$909,$B33)*Data!$D$2:$D$909)</f>
        <v>2994</v>
      </c>
      <c r="E33" s="5" t="n">
        <f aca="false">SUMPRODUCT((Data!$A$2:$A$909=DATE(2026,7,22))*EXACT(Data!$B$2:$B$909,$A33)*EXACT(Data!$C$2:$C$909,$B33)*Data!$D$2:$D$909)</f>
        <v>2807</v>
      </c>
      <c r="F33" s="5" t="n">
        <f aca="false">SUMPRODUCT((Data!$A$2:$A$909=DATE(2026,7,23))*EXACT(Data!$B$2:$B$909,$A33)*EXACT(Data!$C$2:$C$909,$B33)*Data!$D$2:$D$909)</f>
        <v>2834</v>
      </c>
      <c r="G33" s="5" t="n">
        <f aca="false">SUMPRODUCT((Data!$A$2:$A$909=DATE(2026,7,24))*EXACT(Data!$B$2:$B$909,$A33)*EXACT(Data!$C$2:$C$909,$B33)*Data!$D$2:$D$909)</f>
        <v>3012</v>
      </c>
      <c r="H33" s="5" t="n">
        <f aca="false">SUMPRODUCT((Data!$A$2:$A$909=DATE(2026,7,25))*EXACT(Data!$B$2:$B$909,$A33)*EXACT(Data!$C$2:$C$909,$B33)*Data!$D$2:$D$909)</f>
        <v>1235</v>
      </c>
      <c r="I33" s="5" t="n">
        <f aca="false">SUMPRODUCT((Data!$A$2:$A$909=DATE(2026,7,26))*EXACT(Data!$B$2:$B$909,$A33)*EXACT(Data!$C$2:$C$909,$B33)*Data!$D$2:$D$909)</f>
        <v>1295</v>
      </c>
      <c r="J33" s="6" t="n">
        <f aca="false">SUM(C33:I33)</f>
        <v>17654</v>
      </c>
      <c r="K33" s="7" t="n">
        <f aca="false">IF(C33=0,"",(I33-C33)/C33)</f>
        <v>-0.627552487776819</v>
      </c>
    </row>
    <row r="34" customFormat="false" ht="15" hidden="false" customHeight="false" outlineLevel="0" collapsed="false">
      <c r="A34" s="3" t="s">
        <v>31</v>
      </c>
      <c r="B34" s="3" t="s">
        <v>34</v>
      </c>
      <c r="C34" s="5" t="n">
        <f aca="false">SUMPRODUCT((Data!$A$2:$A$909=DATE(2026,7,20))*EXACT(Data!$B$2:$B$909,$A34)*EXACT(Data!$C$2:$C$909,$B34)*Data!$D$2:$D$909)</f>
        <v>3259</v>
      </c>
      <c r="D34" s="5" t="n">
        <f aca="false">SUMPRODUCT((Data!$A$2:$A$909=DATE(2026,7,21))*EXACT(Data!$B$2:$B$909,$A34)*EXACT(Data!$C$2:$C$909,$B34)*Data!$D$2:$D$909)</f>
        <v>2841</v>
      </c>
      <c r="E34" s="5" t="n">
        <f aca="false">SUMPRODUCT((Data!$A$2:$A$909=DATE(2026,7,22))*EXACT(Data!$B$2:$B$909,$A34)*EXACT(Data!$C$2:$C$909,$B34)*Data!$D$2:$D$909)</f>
        <v>2644</v>
      </c>
      <c r="F34" s="5" t="n">
        <f aca="false">SUMPRODUCT((Data!$A$2:$A$909=DATE(2026,7,23))*EXACT(Data!$B$2:$B$909,$A34)*EXACT(Data!$C$2:$C$909,$B34)*Data!$D$2:$D$909)</f>
        <v>2662</v>
      </c>
      <c r="G34" s="5" t="n">
        <f aca="false">SUMPRODUCT((Data!$A$2:$A$909=DATE(2026,7,24))*EXACT(Data!$B$2:$B$909,$A34)*EXACT(Data!$C$2:$C$909,$B34)*Data!$D$2:$D$909)</f>
        <v>2842</v>
      </c>
      <c r="H34" s="5" t="n">
        <f aca="false">SUMPRODUCT((Data!$A$2:$A$909=DATE(2026,7,25))*EXACT(Data!$B$2:$B$909,$A34)*EXACT(Data!$C$2:$C$909,$B34)*Data!$D$2:$D$909)</f>
        <v>1151</v>
      </c>
      <c r="I34" s="5" t="n">
        <f aca="false">SUMPRODUCT((Data!$A$2:$A$909=DATE(2026,7,26))*EXACT(Data!$B$2:$B$909,$A34)*EXACT(Data!$C$2:$C$909,$B34)*Data!$D$2:$D$909)</f>
        <v>1213</v>
      </c>
      <c r="J34" s="6" t="n">
        <f aca="false">SUM(C34:I34)</f>
        <v>16612</v>
      </c>
      <c r="K34" s="7" t="n">
        <f aca="false">IF(C34=0,"",(I34-C34)/C34)</f>
        <v>-0.627799938631482</v>
      </c>
    </row>
    <row r="35" customFormat="false" ht="15" hidden="false" customHeight="false" outlineLevel="0" collapsed="false">
      <c r="A35" s="3" t="s">
        <v>31</v>
      </c>
      <c r="B35" s="3" t="s">
        <v>22</v>
      </c>
      <c r="C35" s="5" t="n">
        <f aca="false">SUMPRODUCT((Data!$A$2:$A$909=DATE(2026,7,20))*EXACT(Data!$B$2:$B$909,$A35)*EXACT(Data!$C$2:$C$909,$B35)*Data!$D$2:$D$909)</f>
        <v>64</v>
      </c>
      <c r="D35" s="5" t="n">
        <f aca="false">SUMPRODUCT((Data!$A$2:$A$909=DATE(2026,7,21))*EXACT(Data!$B$2:$B$909,$A35)*EXACT(Data!$C$2:$C$909,$B35)*Data!$D$2:$D$909)</f>
        <v>65</v>
      </c>
      <c r="E35" s="5" t="n">
        <f aca="false">SUMPRODUCT((Data!$A$2:$A$909=DATE(2026,7,22))*EXACT(Data!$B$2:$B$909,$A35)*EXACT(Data!$C$2:$C$909,$B35)*Data!$D$2:$D$909)</f>
        <v>52</v>
      </c>
      <c r="F35" s="5" t="n">
        <f aca="false">SUMPRODUCT((Data!$A$2:$A$909=DATE(2026,7,23))*EXACT(Data!$B$2:$B$909,$A35)*EXACT(Data!$C$2:$C$909,$B35)*Data!$D$2:$D$909)</f>
        <v>49</v>
      </c>
      <c r="G35" s="5" t="n">
        <f aca="false">SUMPRODUCT((Data!$A$2:$A$909=DATE(2026,7,24))*EXACT(Data!$B$2:$B$909,$A35)*EXACT(Data!$C$2:$C$909,$B35)*Data!$D$2:$D$909)</f>
        <v>46</v>
      </c>
      <c r="H35" s="5" t="n">
        <f aca="false">SUMPRODUCT((Data!$A$2:$A$909=DATE(2026,7,25))*EXACT(Data!$B$2:$B$909,$A35)*EXACT(Data!$C$2:$C$909,$B35)*Data!$D$2:$D$909)</f>
        <v>27</v>
      </c>
      <c r="I35" s="5" t="n">
        <f aca="false">SUMPRODUCT((Data!$A$2:$A$909=DATE(2026,7,26))*EXACT(Data!$B$2:$B$909,$A35)*EXACT(Data!$C$2:$C$909,$B35)*Data!$D$2:$D$909)</f>
        <v>38</v>
      </c>
      <c r="J35" s="6" t="n">
        <f aca="false">SUM(C35:I35)</f>
        <v>341</v>
      </c>
      <c r="K35" s="7" t="n">
        <f aca="false">IF(C35=0,"",(I35-C35)/C35)</f>
        <v>-0.40625</v>
      </c>
    </row>
    <row r="36" customFormat="false" ht="15" hidden="false" customHeight="false" outlineLevel="0" collapsed="false">
      <c r="A36" s="3" t="s">
        <v>31</v>
      </c>
      <c r="B36" s="3" t="s">
        <v>23</v>
      </c>
      <c r="C36" s="5" t="n">
        <f aca="false">SUMPRODUCT((Data!$A$2:$A$909=DATE(2026,7,20))*EXACT(Data!$B$2:$B$909,$A36)*EXACT(Data!$C$2:$C$909,$B36)*Data!$D$2:$D$909)</f>
        <v>202</v>
      </c>
      <c r="D36" s="5" t="n">
        <f aca="false">SUMPRODUCT((Data!$A$2:$A$909=DATE(2026,7,21))*EXACT(Data!$B$2:$B$909,$A36)*EXACT(Data!$C$2:$C$909,$B36)*Data!$D$2:$D$909)</f>
        <v>260</v>
      </c>
      <c r="E36" s="5" t="n">
        <f aca="false">SUMPRODUCT((Data!$A$2:$A$909=DATE(2026,7,22))*EXACT(Data!$B$2:$B$909,$A36)*EXACT(Data!$C$2:$C$909,$B36)*Data!$D$2:$D$909)</f>
        <v>290</v>
      </c>
      <c r="F36" s="5" t="n">
        <f aca="false">SUMPRODUCT((Data!$A$2:$A$909=DATE(2026,7,23))*EXACT(Data!$B$2:$B$909,$A36)*EXACT(Data!$C$2:$C$909,$B36)*Data!$D$2:$D$909)</f>
        <v>230</v>
      </c>
      <c r="G36" s="5" t="n">
        <f aca="false">SUMPRODUCT((Data!$A$2:$A$909=DATE(2026,7,24))*EXACT(Data!$B$2:$B$909,$A36)*EXACT(Data!$C$2:$C$909,$B36)*Data!$D$2:$D$909)</f>
        <v>256</v>
      </c>
      <c r="H36" s="5" t="n">
        <f aca="false">SUMPRODUCT((Data!$A$2:$A$909=DATE(2026,7,25))*EXACT(Data!$B$2:$B$909,$A36)*EXACT(Data!$C$2:$C$909,$B36)*Data!$D$2:$D$909)</f>
        <v>0</v>
      </c>
      <c r="I36" s="5" t="n">
        <f aca="false">SUMPRODUCT((Data!$A$2:$A$909=DATE(2026,7,26))*EXACT(Data!$B$2:$B$909,$A36)*EXACT(Data!$C$2:$C$909,$B36)*Data!$D$2:$D$909)</f>
        <v>6</v>
      </c>
      <c r="J36" s="6" t="n">
        <f aca="false">SUM(C36:I36)</f>
        <v>1244</v>
      </c>
      <c r="K36" s="7" t="n">
        <f aca="false">IF(C36=0,"",(I36-C36)/C36)</f>
        <v>-0.97029702970297</v>
      </c>
    </row>
    <row r="37" customFormat="false" ht="15" hidden="false" customHeight="false" outlineLevel="0" collapsed="false">
      <c r="A37" s="3" t="s">
        <v>36</v>
      </c>
      <c r="B37" s="3" t="s">
        <v>14</v>
      </c>
      <c r="C37" s="5" t="n">
        <f aca="false">SUMPRODUCT((Data!$A$2:$A$909=DATE(2026,7,20))*EXACT(Data!$B$2:$B$909,$A37)*EXACT(Data!$C$2:$C$909,$B37)*Data!$D$2:$D$909)</f>
        <v>6</v>
      </c>
      <c r="D37" s="5" t="n">
        <f aca="false">SUMPRODUCT((Data!$A$2:$A$909=DATE(2026,7,21))*EXACT(Data!$B$2:$B$909,$A37)*EXACT(Data!$C$2:$C$909,$B37)*Data!$D$2:$D$909)</f>
        <v>5</v>
      </c>
      <c r="E37" s="5" t="n">
        <f aca="false">SUMPRODUCT((Data!$A$2:$A$909=DATE(2026,7,22))*EXACT(Data!$B$2:$B$909,$A37)*EXACT(Data!$C$2:$C$909,$B37)*Data!$D$2:$D$909)</f>
        <v>5</v>
      </c>
      <c r="F37" s="5" t="n">
        <f aca="false">SUMPRODUCT((Data!$A$2:$A$909=DATE(2026,7,23))*EXACT(Data!$B$2:$B$909,$A37)*EXACT(Data!$C$2:$C$909,$B37)*Data!$D$2:$D$909)</f>
        <v>5</v>
      </c>
      <c r="G37" s="5" t="n">
        <f aca="false">SUMPRODUCT((Data!$A$2:$A$909=DATE(2026,7,24))*EXACT(Data!$B$2:$B$909,$A37)*EXACT(Data!$C$2:$C$909,$B37)*Data!$D$2:$D$909)</f>
        <v>5</v>
      </c>
      <c r="H37" s="5" t="n">
        <f aca="false">SUMPRODUCT((Data!$A$2:$A$909=DATE(2026,7,25))*EXACT(Data!$B$2:$B$909,$A37)*EXACT(Data!$C$2:$C$909,$B37)*Data!$D$2:$D$909)</f>
        <v>5</v>
      </c>
      <c r="I37" s="5" t="n">
        <f aca="false">SUMPRODUCT((Data!$A$2:$A$909=DATE(2026,7,26))*EXACT(Data!$B$2:$B$909,$A37)*EXACT(Data!$C$2:$C$909,$B37)*Data!$D$2:$D$909)</f>
        <v>5</v>
      </c>
      <c r="J37" s="6" t="n">
        <f aca="false">SUM(C37:I37)</f>
        <v>36</v>
      </c>
      <c r="K37" s="7" t="n">
        <f aca="false">IF(C37=0,"",(I37-C37)/C37)</f>
        <v>-0.166666666666667</v>
      </c>
    </row>
    <row r="38" customFormat="false" ht="15" hidden="false" customHeight="false" outlineLevel="0" collapsed="false">
      <c r="A38" s="3" t="s">
        <v>36</v>
      </c>
      <c r="B38" s="3" t="s">
        <v>37</v>
      </c>
      <c r="C38" s="5" t="n">
        <f aca="false">SUMPRODUCT((Data!$A$2:$A$909=DATE(2026,7,20))*EXACT(Data!$B$2:$B$909,$A38)*EXACT(Data!$C$2:$C$909,$B38)*Data!$D$2:$D$909)</f>
        <v>986</v>
      </c>
      <c r="D38" s="5" t="n">
        <f aca="false">SUMPRODUCT((Data!$A$2:$A$909=DATE(2026,7,21))*EXACT(Data!$B$2:$B$909,$A38)*EXACT(Data!$C$2:$C$909,$B38)*Data!$D$2:$D$909)</f>
        <v>825</v>
      </c>
      <c r="E38" s="5" t="n">
        <f aca="false">SUMPRODUCT((Data!$A$2:$A$909=DATE(2026,7,22))*EXACT(Data!$B$2:$B$909,$A38)*EXACT(Data!$C$2:$C$909,$B38)*Data!$D$2:$D$909)</f>
        <v>848</v>
      </c>
      <c r="F38" s="5" t="n">
        <f aca="false">SUMPRODUCT((Data!$A$2:$A$909=DATE(2026,7,23))*EXACT(Data!$B$2:$B$909,$A38)*EXACT(Data!$C$2:$C$909,$B38)*Data!$D$2:$D$909)</f>
        <v>832</v>
      </c>
      <c r="G38" s="5" t="n">
        <f aca="false">SUMPRODUCT((Data!$A$2:$A$909=DATE(2026,7,24))*EXACT(Data!$B$2:$B$909,$A38)*EXACT(Data!$C$2:$C$909,$B38)*Data!$D$2:$D$909)</f>
        <v>847</v>
      </c>
      <c r="H38" s="5" t="n">
        <f aca="false">SUMPRODUCT((Data!$A$2:$A$909=DATE(2026,7,25))*EXACT(Data!$B$2:$B$909,$A38)*EXACT(Data!$C$2:$C$909,$B38)*Data!$D$2:$D$909)</f>
        <v>224</v>
      </c>
      <c r="I38" s="5" t="n">
        <f aca="false">SUMPRODUCT((Data!$A$2:$A$909=DATE(2026,7,26))*EXACT(Data!$B$2:$B$909,$A38)*EXACT(Data!$C$2:$C$909,$B38)*Data!$D$2:$D$909)</f>
        <v>243</v>
      </c>
      <c r="J38" s="6" t="n">
        <f aca="false">SUM(C38:I38)</f>
        <v>4805</v>
      </c>
      <c r="K38" s="7" t="n">
        <f aca="false">IF(C38=0,"",(I38-C38)/C38)</f>
        <v>-0.753549695740365</v>
      </c>
    </row>
    <row r="39" customFormat="false" ht="15" hidden="false" customHeight="false" outlineLevel="0" collapsed="false">
      <c r="A39" s="3" t="s">
        <v>36</v>
      </c>
      <c r="B39" s="3" t="s">
        <v>38</v>
      </c>
      <c r="C39" s="5" t="n">
        <f aca="false">SUMPRODUCT((Data!$A$2:$A$909=DATE(2026,7,20))*EXACT(Data!$B$2:$B$909,$A39)*EXACT(Data!$C$2:$C$909,$B39)*Data!$D$2:$D$909)</f>
        <v>986</v>
      </c>
      <c r="D39" s="5" t="n">
        <f aca="false">SUMPRODUCT((Data!$A$2:$A$909=DATE(2026,7,21))*EXACT(Data!$B$2:$B$909,$A39)*EXACT(Data!$C$2:$C$909,$B39)*Data!$D$2:$D$909)</f>
        <v>825</v>
      </c>
      <c r="E39" s="5" t="n">
        <f aca="false">SUMPRODUCT((Data!$A$2:$A$909=DATE(2026,7,22))*EXACT(Data!$B$2:$B$909,$A39)*EXACT(Data!$C$2:$C$909,$B39)*Data!$D$2:$D$909)</f>
        <v>848</v>
      </c>
      <c r="F39" s="5" t="n">
        <f aca="false">SUMPRODUCT((Data!$A$2:$A$909=DATE(2026,7,23))*EXACT(Data!$B$2:$B$909,$A39)*EXACT(Data!$C$2:$C$909,$B39)*Data!$D$2:$D$909)</f>
        <v>832</v>
      </c>
      <c r="G39" s="5" t="n">
        <f aca="false">SUMPRODUCT((Data!$A$2:$A$909=DATE(2026,7,24))*EXACT(Data!$B$2:$B$909,$A39)*EXACT(Data!$C$2:$C$909,$B39)*Data!$D$2:$D$909)</f>
        <v>847</v>
      </c>
      <c r="H39" s="5" t="n">
        <f aca="false">SUMPRODUCT((Data!$A$2:$A$909=DATE(2026,7,25))*EXACT(Data!$B$2:$B$909,$A39)*EXACT(Data!$C$2:$C$909,$B39)*Data!$D$2:$D$909)</f>
        <v>224</v>
      </c>
      <c r="I39" s="5" t="n">
        <f aca="false">SUMPRODUCT((Data!$A$2:$A$909=DATE(2026,7,26))*EXACT(Data!$B$2:$B$909,$A39)*EXACT(Data!$C$2:$C$909,$B39)*Data!$D$2:$D$909)</f>
        <v>243</v>
      </c>
      <c r="J39" s="6" t="n">
        <f aca="false">SUM(C39:I39)</f>
        <v>4805</v>
      </c>
      <c r="K39" s="7" t="n">
        <f aca="false">IF(C39=0,"",(I39-C39)/C39)</f>
        <v>-0.753549695740365</v>
      </c>
    </row>
    <row r="40" customFormat="false" ht="15" hidden="false" customHeight="false" outlineLevel="0" collapsed="false">
      <c r="A40" s="3" t="s">
        <v>36</v>
      </c>
      <c r="B40" s="3" t="s">
        <v>39</v>
      </c>
      <c r="C40" s="5" t="n">
        <f aca="false">SUMPRODUCT((Data!$A$2:$A$909=DATE(2026,7,20))*EXACT(Data!$B$2:$B$909,$A40)*EXACT(Data!$C$2:$C$909,$B40)*Data!$D$2:$D$909)</f>
        <v>653</v>
      </c>
      <c r="D40" s="5" t="n">
        <f aca="false">SUMPRODUCT((Data!$A$2:$A$909=DATE(2026,7,21))*EXACT(Data!$B$2:$B$909,$A40)*EXACT(Data!$C$2:$C$909,$B40)*Data!$D$2:$D$909)</f>
        <v>522</v>
      </c>
      <c r="E40" s="5" t="n">
        <f aca="false">SUMPRODUCT((Data!$A$2:$A$909=DATE(2026,7,22))*EXACT(Data!$B$2:$B$909,$A40)*EXACT(Data!$C$2:$C$909,$B40)*Data!$D$2:$D$909)</f>
        <v>556</v>
      </c>
      <c r="F40" s="5" t="n">
        <f aca="false">SUMPRODUCT((Data!$A$2:$A$909=DATE(2026,7,23))*EXACT(Data!$B$2:$B$909,$A40)*EXACT(Data!$C$2:$C$909,$B40)*Data!$D$2:$D$909)</f>
        <v>583</v>
      </c>
      <c r="G40" s="5" t="n">
        <f aca="false">SUMPRODUCT((Data!$A$2:$A$909=DATE(2026,7,24))*EXACT(Data!$B$2:$B$909,$A40)*EXACT(Data!$C$2:$C$909,$B40)*Data!$D$2:$D$909)</f>
        <v>583</v>
      </c>
      <c r="H40" s="5" t="n">
        <f aca="false">SUMPRODUCT((Data!$A$2:$A$909=DATE(2026,7,25))*EXACT(Data!$B$2:$B$909,$A40)*EXACT(Data!$C$2:$C$909,$B40)*Data!$D$2:$D$909)</f>
        <v>141</v>
      </c>
      <c r="I40" s="5" t="n">
        <f aca="false">SUMPRODUCT((Data!$A$2:$A$909=DATE(2026,7,26))*EXACT(Data!$B$2:$B$909,$A40)*EXACT(Data!$C$2:$C$909,$B40)*Data!$D$2:$D$909)</f>
        <v>154</v>
      </c>
      <c r="J40" s="6" t="n">
        <f aca="false">SUM(C40:I40)</f>
        <v>3192</v>
      </c>
      <c r="K40" s="7" t="n">
        <f aca="false">IF(C40=0,"",(I40-C40)/C40)</f>
        <v>-0.76416539050536</v>
      </c>
    </row>
    <row r="41" customFormat="false" ht="15" hidden="false" customHeight="false" outlineLevel="0" collapsed="false">
      <c r="A41" s="3" t="s">
        <v>36</v>
      </c>
      <c r="B41" s="3" t="s">
        <v>40</v>
      </c>
      <c r="C41" s="5" t="n">
        <f aca="false">SUMPRODUCT((Data!$A$2:$A$909=DATE(2026,7,20))*EXACT(Data!$B$2:$B$909,$A41)*EXACT(Data!$C$2:$C$909,$B41)*Data!$D$2:$D$909)</f>
        <v>23</v>
      </c>
      <c r="D41" s="5" t="n">
        <f aca="false">SUMPRODUCT((Data!$A$2:$A$909=DATE(2026,7,21))*EXACT(Data!$B$2:$B$909,$A41)*EXACT(Data!$C$2:$C$909,$B41)*Data!$D$2:$D$909)</f>
        <v>3</v>
      </c>
      <c r="E41" s="5" t="n">
        <f aca="false">SUMPRODUCT((Data!$A$2:$A$909=DATE(2026,7,22))*EXACT(Data!$B$2:$B$909,$A41)*EXACT(Data!$C$2:$C$909,$B41)*Data!$D$2:$D$909)</f>
        <v>2</v>
      </c>
      <c r="F41" s="5" t="n">
        <f aca="false">SUMPRODUCT((Data!$A$2:$A$909=DATE(2026,7,23))*EXACT(Data!$B$2:$B$909,$A41)*EXACT(Data!$C$2:$C$909,$B41)*Data!$D$2:$D$909)</f>
        <v>4</v>
      </c>
      <c r="G41" s="5" t="n">
        <f aca="false">SUMPRODUCT((Data!$A$2:$A$909=DATE(2026,7,24))*EXACT(Data!$B$2:$B$909,$A41)*EXACT(Data!$C$2:$C$909,$B41)*Data!$D$2:$D$909)</f>
        <v>3</v>
      </c>
      <c r="H41" s="5" t="n">
        <f aca="false">SUMPRODUCT((Data!$A$2:$A$909=DATE(2026,7,25))*EXACT(Data!$B$2:$B$909,$A41)*EXACT(Data!$C$2:$C$909,$B41)*Data!$D$2:$D$909)</f>
        <v>3</v>
      </c>
      <c r="I41" s="5" t="n">
        <f aca="false">SUMPRODUCT((Data!$A$2:$A$909=DATE(2026,7,26))*EXACT(Data!$B$2:$B$909,$A41)*EXACT(Data!$C$2:$C$909,$B41)*Data!$D$2:$D$909)</f>
        <v>2</v>
      </c>
      <c r="J41" s="6" t="n">
        <f aca="false">SUM(C41:I41)</f>
        <v>40</v>
      </c>
      <c r="K41" s="7" t="n">
        <f aca="false">IF(C41=0,"",(I41-C41)/C41)</f>
        <v>-0.91304347826087</v>
      </c>
    </row>
    <row r="42" customFormat="false" ht="15" hidden="false" customHeight="false" outlineLevel="0" collapsed="false">
      <c r="A42" s="3" t="s">
        <v>36</v>
      </c>
      <c r="B42" s="3" t="s">
        <v>11</v>
      </c>
      <c r="C42" s="5" t="n">
        <f aca="false">SUMPRODUCT((Data!$A$2:$A$909=DATE(2026,7,20))*EXACT(Data!$B$2:$B$909,$A42)*EXACT(Data!$C$2:$C$909,$B42)*Data!$D$2:$D$909)</f>
        <v>23664</v>
      </c>
      <c r="D42" s="5" t="n">
        <f aca="false">SUMPRODUCT((Data!$A$2:$A$909=DATE(2026,7,21))*EXACT(Data!$B$2:$B$909,$A42)*EXACT(Data!$C$2:$C$909,$B42)*Data!$D$2:$D$909)</f>
        <v>23944</v>
      </c>
      <c r="E42" s="5" t="n">
        <f aca="false">SUMPRODUCT((Data!$A$2:$A$909=DATE(2026,7,22))*EXACT(Data!$B$2:$B$909,$A42)*EXACT(Data!$C$2:$C$909,$B42)*Data!$D$2:$D$909)</f>
        <v>23472</v>
      </c>
      <c r="F42" s="5" t="n">
        <f aca="false">SUMPRODUCT((Data!$A$2:$A$909=DATE(2026,7,23))*EXACT(Data!$B$2:$B$909,$A42)*EXACT(Data!$C$2:$C$909,$B42)*Data!$D$2:$D$909)</f>
        <v>43136</v>
      </c>
      <c r="G42" s="5" t="n">
        <f aca="false">SUMPRODUCT((Data!$A$2:$A$909=DATE(2026,7,24))*EXACT(Data!$B$2:$B$909,$A42)*EXACT(Data!$C$2:$C$909,$B42)*Data!$D$2:$D$909)</f>
        <v>40168</v>
      </c>
      <c r="H42" s="5" t="n">
        <f aca="false">SUMPRODUCT((Data!$A$2:$A$909=DATE(2026,7,25))*EXACT(Data!$B$2:$B$909,$A42)*EXACT(Data!$C$2:$C$909,$B42)*Data!$D$2:$D$909)</f>
        <v>3170</v>
      </c>
      <c r="I42" s="5" t="n">
        <f aca="false">SUMPRODUCT((Data!$A$2:$A$909=DATE(2026,7,26))*EXACT(Data!$B$2:$B$909,$A42)*EXACT(Data!$C$2:$C$909,$B42)*Data!$D$2:$D$909)</f>
        <v>2482</v>
      </c>
      <c r="J42" s="6" t="n">
        <f aca="false">SUM(C42:I42)</f>
        <v>160036</v>
      </c>
      <c r="K42" s="7" t="n">
        <f aca="false">IF(C42=0,"",(I42-C42)/C42)</f>
        <v>-0.895114942528736</v>
      </c>
    </row>
    <row r="43" customFormat="false" ht="15" hidden="false" customHeight="false" outlineLevel="0" collapsed="false">
      <c r="A43" s="3" t="s">
        <v>41</v>
      </c>
      <c r="B43" s="3" t="s">
        <v>14</v>
      </c>
      <c r="C43" s="5" t="n">
        <f aca="false">SUMPRODUCT((Data!$A$2:$A$909=DATE(2026,7,20))*EXACT(Data!$B$2:$B$909,$A43)*EXACT(Data!$C$2:$C$909,$B43)*Data!$D$2:$D$909)</f>
        <v>16</v>
      </c>
      <c r="D43" s="5" t="n">
        <f aca="false">SUMPRODUCT((Data!$A$2:$A$909=DATE(2026,7,21))*EXACT(Data!$B$2:$B$909,$A43)*EXACT(Data!$C$2:$C$909,$B43)*Data!$D$2:$D$909)</f>
        <v>8</v>
      </c>
      <c r="E43" s="5" t="n">
        <f aca="false">SUMPRODUCT((Data!$A$2:$A$909=DATE(2026,7,22))*EXACT(Data!$B$2:$B$909,$A43)*EXACT(Data!$C$2:$C$909,$B43)*Data!$D$2:$D$909)</f>
        <v>14</v>
      </c>
      <c r="F43" s="5" t="n">
        <f aca="false">SUMPRODUCT((Data!$A$2:$A$909=DATE(2026,7,23))*EXACT(Data!$B$2:$B$909,$A43)*EXACT(Data!$C$2:$C$909,$B43)*Data!$D$2:$D$909)</f>
        <v>10</v>
      </c>
      <c r="G43" s="5" t="n">
        <f aca="false">SUMPRODUCT((Data!$A$2:$A$909=DATE(2026,7,24))*EXACT(Data!$B$2:$B$909,$A43)*EXACT(Data!$C$2:$C$909,$B43)*Data!$D$2:$D$909)</f>
        <v>10</v>
      </c>
      <c r="H43" s="5" t="n">
        <f aca="false">SUMPRODUCT((Data!$A$2:$A$909=DATE(2026,7,25))*EXACT(Data!$B$2:$B$909,$A43)*EXACT(Data!$C$2:$C$909,$B43)*Data!$D$2:$D$909)</f>
        <v>5</v>
      </c>
      <c r="I43" s="5" t="n">
        <f aca="false">SUMPRODUCT((Data!$A$2:$A$909=DATE(2026,7,26))*EXACT(Data!$B$2:$B$909,$A43)*EXACT(Data!$C$2:$C$909,$B43)*Data!$D$2:$D$909)</f>
        <v>6</v>
      </c>
      <c r="J43" s="6" t="n">
        <f aca="false">SUM(C43:I43)</f>
        <v>69</v>
      </c>
      <c r="K43" s="7" t="n">
        <f aca="false">IF(C43=0,"",(I43-C43)/C43)</f>
        <v>-0.625</v>
      </c>
    </row>
    <row r="44" customFormat="false" ht="15" hidden="false" customHeight="false" outlineLevel="0" collapsed="false">
      <c r="A44" s="3" t="s">
        <v>41</v>
      </c>
      <c r="B44" s="3" t="s">
        <v>26</v>
      </c>
      <c r="C44" s="5" t="n">
        <f aca="false">SUMPRODUCT((Data!$A$2:$A$909=DATE(2026,7,20))*EXACT(Data!$B$2:$B$909,$A44)*EXACT(Data!$C$2:$C$909,$B44)*Data!$D$2:$D$909)</f>
        <v>129</v>
      </c>
      <c r="D44" s="5" t="n">
        <f aca="false">SUMPRODUCT((Data!$A$2:$A$909=DATE(2026,7,21))*EXACT(Data!$B$2:$B$909,$A44)*EXACT(Data!$C$2:$C$909,$B44)*Data!$D$2:$D$909)</f>
        <v>150</v>
      </c>
      <c r="E44" s="5" t="n">
        <f aca="false">SUMPRODUCT((Data!$A$2:$A$909=DATE(2026,7,22))*EXACT(Data!$B$2:$B$909,$A44)*EXACT(Data!$C$2:$C$909,$B44)*Data!$D$2:$D$909)</f>
        <v>143</v>
      </c>
      <c r="F44" s="5" t="n">
        <f aca="false">SUMPRODUCT((Data!$A$2:$A$909=DATE(2026,7,23))*EXACT(Data!$B$2:$B$909,$A44)*EXACT(Data!$C$2:$C$909,$B44)*Data!$D$2:$D$909)</f>
        <v>127</v>
      </c>
      <c r="G44" s="5" t="n">
        <f aca="false">SUMPRODUCT((Data!$A$2:$A$909=DATE(2026,7,24))*EXACT(Data!$B$2:$B$909,$A44)*EXACT(Data!$C$2:$C$909,$B44)*Data!$D$2:$D$909)</f>
        <v>159</v>
      </c>
      <c r="H44" s="5" t="n">
        <f aca="false">SUMPRODUCT((Data!$A$2:$A$909=DATE(2026,7,25))*EXACT(Data!$B$2:$B$909,$A44)*EXACT(Data!$C$2:$C$909,$B44)*Data!$D$2:$D$909)</f>
        <v>3</v>
      </c>
      <c r="I44" s="5" t="n">
        <f aca="false">SUMPRODUCT((Data!$A$2:$A$909=DATE(2026,7,26))*EXACT(Data!$B$2:$B$909,$A44)*EXACT(Data!$C$2:$C$909,$B44)*Data!$D$2:$D$909)</f>
        <v>2</v>
      </c>
      <c r="J44" s="6" t="n">
        <f aca="false">SUM(C44:I44)</f>
        <v>713</v>
      </c>
      <c r="K44" s="7" t="n">
        <f aca="false">IF(C44=0,"",(I44-C44)/C44)</f>
        <v>-0.984496124031008</v>
      </c>
    </row>
    <row r="45" customFormat="false" ht="15" hidden="false" customHeight="false" outlineLevel="0" collapsed="false">
      <c r="A45" s="3" t="s">
        <v>41</v>
      </c>
      <c r="B45" s="3" t="s">
        <v>38</v>
      </c>
      <c r="C45" s="5" t="n">
        <f aca="false">SUMPRODUCT((Data!$A$2:$A$909=DATE(2026,7,20))*EXACT(Data!$B$2:$B$909,$A45)*EXACT(Data!$C$2:$C$909,$B45)*Data!$D$2:$D$909)</f>
        <v>252</v>
      </c>
      <c r="D45" s="5" t="n">
        <f aca="false">SUMPRODUCT((Data!$A$2:$A$909=DATE(2026,7,21))*EXACT(Data!$B$2:$B$909,$A45)*EXACT(Data!$C$2:$C$909,$B45)*Data!$D$2:$D$909)</f>
        <v>281</v>
      </c>
      <c r="E45" s="5" t="n">
        <f aca="false">SUMPRODUCT((Data!$A$2:$A$909=DATE(2026,7,22))*EXACT(Data!$B$2:$B$909,$A45)*EXACT(Data!$C$2:$C$909,$B45)*Data!$D$2:$D$909)</f>
        <v>378</v>
      </c>
      <c r="F45" s="5" t="n">
        <f aca="false">SUMPRODUCT((Data!$A$2:$A$909=DATE(2026,7,23))*EXACT(Data!$B$2:$B$909,$A45)*EXACT(Data!$C$2:$C$909,$B45)*Data!$D$2:$D$909)</f>
        <v>313</v>
      </c>
      <c r="G45" s="5" t="n">
        <f aca="false">SUMPRODUCT((Data!$A$2:$A$909=DATE(2026,7,24))*EXACT(Data!$B$2:$B$909,$A45)*EXACT(Data!$C$2:$C$909,$B45)*Data!$D$2:$D$909)</f>
        <v>267</v>
      </c>
      <c r="H45" s="5" t="n">
        <f aca="false">SUMPRODUCT((Data!$A$2:$A$909=DATE(2026,7,25))*EXACT(Data!$B$2:$B$909,$A45)*EXACT(Data!$C$2:$C$909,$B45)*Data!$D$2:$D$909)</f>
        <v>320</v>
      </c>
      <c r="I45" s="5" t="n">
        <f aca="false">SUMPRODUCT((Data!$A$2:$A$909=DATE(2026,7,26))*EXACT(Data!$B$2:$B$909,$A45)*EXACT(Data!$C$2:$C$909,$B45)*Data!$D$2:$D$909)</f>
        <v>84</v>
      </c>
      <c r="J45" s="6" t="n">
        <f aca="false">SUM(C45:I45)</f>
        <v>1895</v>
      </c>
      <c r="K45" s="7" t="n">
        <f aca="false">IF(C45=0,"",(I45-C45)/C45)</f>
        <v>-0.666666666666667</v>
      </c>
    </row>
    <row r="46" customFormat="false" ht="15" hidden="false" customHeight="false" outlineLevel="0" collapsed="false">
      <c r="A46" s="3" t="s">
        <v>41</v>
      </c>
      <c r="B46" s="3" t="s">
        <v>28</v>
      </c>
      <c r="C46" s="5" t="n">
        <f aca="false">SUMPRODUCT((Data!$A$2:$A$909=DATE(2026,7,20))*EXACT(Data!$B$2:$B$909,$A46)*EXACT(Data!$C$2:$C$909,$B46)*Data!$D$2:$D$909)</f>
        <v>103</v>
      </c>
      <c r="D46" s="5" t="n">
        <f aca="false">SUMPRODUCT((Data!$A$2:$A$909=DATE(2026,7,21))*EXACT(Data!$B$2:$B$909,$A46)*EXACT(Data!$C$2:$C$909,$B46)*Data!$D$2:$D$909)</f>
        <v>141</v>
      </c>
      <c r="E46" s="5" t="n">
        <f aca="false">SUMPRODUCT((Data!$A$2:$A$909=DATE(2026,7,22))*EXACT(Data!$B$2:$B$909,$A46)*EXACT(Data!$C$2:$C$909,$B46)*Data!$D$2:$D$909)</f>
        <v>125</v>
      </c>
      <c r="F46" s="5" t="n">
        <f aca="false">SUMPRODUCT((Data!$A$2:$A$909=DATE(2026,7,23))*EXACT(Data!$B$2:$B$909,$A46)*EXACT(Data!$C$2:$C$909,$B46)*Data!$D$2:$D$909)</f>
        <v>102</v>
      </c>
      <c r="G46" s="5" t="n">
        <f aca="false">SUMPRODUCT((Data!$A$2:$A$909=DATE(2026,7,24))*EXACT(Data!$B$2:$B$909,$A46)*EXACT(Data!$C$2:$C$909,$B46)*Data!$D$2:$D$909)</f>
        <v>137</v>
      </c>
      <c r="H46" s="5" t="n">
        <f aca="false">SUMPRODUCT((Data!$A$2:$A$909=DATE(2026,7,25))*EXACT(Data!$B$2:$B$909,$A46)*EXACT(Data!$C$2:$C$909,$B46)*Data!$D$2:$D$909)</f>
        <v>0</v>
      </c>
      <c r="I46" s="5" t="n">
        <f aca="false">SUMPRODUCT((Data!$A$2:$A$909=DATE(2026,7,26))*EXACT(Data!$B$2:$B$909,$A46)*EXACT(Data!$C$2:$C$909,$B46)*Data!$D$2:$D$909)</f>
        <v>1</v>
      </c>
      <c r="J46" s="6" t="n">
        <f aca="false">SUM(C46:I46)</f>
        <v>609</v>
      </c>
      <c r="K46" s="7" t="n">
        <f aca="false">IF(C46=0,"",(I46-C46)/C46)</f>
        <v>-0.990291262135922</v>
      </c>
    </row>
    <row r="47" customFormat="false" ht="15" hidden="false" customHeight="false" outlineLevel="0" collapsed="false">
      <c r="A47" s="3" t="s">
        <v>41</v>
      </c>
      <c r="B47" s="3" t="s">
        <v>39</v>
      </c>
      <c r="C47" s="5" t="n">
        <f aca="false">SUMPRODUCT((Data!$A$2:$A$909=DATE(2026,7,20))*EXACT(Data!$B$2:$B$909,$A47)*EXACT(Data!$C$2:$C$909,$B47)*Data!$D$2:$D$909)</f>
        <v>200</v>
      </c>
      <c r="D47" s="5" t="n">
        <f aca="false">SUMPRODUCT((Data!$A$2:$A$909=DATE(2026,7,21))*EXACT(Data!$B$2:$B$909,$A47)*EXACT(Data!$C$2:$C$909,$B47)*Data!$D$2:$D$909)</f>
        <v>215</v>
      </c>
      <c r="E47" s="5" t="n">
        <f aca="false">SUMPRODUCT((Data!$A$2:$A$909=DATE(2026,7,22))*EXACT(Data!$B$2:$B$909,$A47)*EXACT(Data!$C$2:$C$909,$B47)*Data!$D$2:$D$909)</f>
        <v>304</v>
      </c>
      <c r="F47" s="5" t="n">
        <f aca="false">SUMPRODUCT((Data!$A$2:$A$909=DATE(2026,7,23))*EXACT(Data!$B$2:$B$909,$A47)*EXACT(Data!$C$2:$C$909,$B47)*Data!$D$2:$D$909)</f>
        <v>207</v>
      </c>
      <c r="G47" s="5" t="n">
        <f aca="false">SUMPRODUCT((Data!$A$2:$A$909=DATE(2026,7,24))*EXACT(Data!$B$2:$B$909,$A47)*EXACT(Data!$C$2:$C$909,$B47)*Data!$D$2:$D$909)</f>
        <v>220</v>
      </c>
      <c r="H47" s="5" t="n">
        <f aca="false">SUMPRODUCT((Data!$A$2:$A$909=DATE(2026,7,25))*EXACT(Data!$B$2:$B$909,$A47)*EXACT(Data!$C$2:$C$909,$B47)*Data!$D$2:$D$909)</f>
        <v>123</v>
      </c>
      <c r="I47" s="5" t="n">
        <f aca="false">SUMPRODUCT((Data!$A$2:$A$909=DATE(2026,7,26))*EXACT(Data!$B$2:$B$909,$A47)*EXACT(Data!$C$2:$C$909,$B47)*Data!$D$2:$D$909)</f>
        <v>67</v>
      </c>
      <c r="J47" s="6" t="n">
        <f aca="false">SUM(C47:I47)</f>
        <v>1336</v>
      </c>
      <c r="K47" s="7" t="n">
        <f aca="false">IF(C47=0,"",(I47-C47)/C47)</f>
        <v>-0.665</v>
      </c>
    </row>
    <row r="48" customFormat="false" ht="15" hidden="false" customHeight="false" outlineLevel="0" collapsed="false">
      <c r="A48" s="3" t="s">
        <v>41</v>
      </c>
      <c r="B48" s="3" t="s">
        <v>42</v>
      </c>
      <c r="C48" s="5" t="n">
        <f aca="false">SUMPRODUCT((Data!$A$2:$A$909=DATE(2026,7,20))*EXACT(Data!$B$2:$B$909,$A48)*EXACT(Data!$C$2:$C$909,$B48)*Data!$D$2:$D$909)</f>
        <v>4</v>
      </c>
      <c r="D48" s="5" t="n">
        <f aca="false">SUMPRODUCT((Data!$A$2:$A$909=DATE(2026,7,21))*EXACT(Data!$B$2:$B$909,$A48)*EXACT(Data!$C$2:$C$909,$B48)*Data!$D$2:$D$909)</f>
        <v>1</v>
      </c>
      <c r="E48" s="5" t="n">
        <f aca="false">SUMPRODUCT((Data!$A$2:$A$909=DATE(2026,7,22))*EXACT(Data!$B$2:$B$909,$A48)*EXACT(Data!$C$2:$C$909,$B48)*Data!$D$2:$D$909)</f>
        <v>4</v>
      </c>
      <c r="F48" s="5" t="n">
        <f aca="false">SUMPRODUCT((Data!$A$2:$A$909=DATE(2026,7,23))*EXACT(Data!$B$2:$B$909,$A48)*EXACT(Data!$C$2:$C$909,$B48)*Data!$D$2:$D$909)</f>
        <v>5</v>
      </c>
      <c r="G48" s="5" t="n">
        <f aca="false">SUMPRODUCT((Data!$A$2:$A$909=DATE(2026,7,24))*EXACT(Data!$B$2:$B$909,$A48)*EXACT(Data!$C$2:$C$909,$B48)*Data!$D$2:$D$909)</f>
        <v>2</v>
      </c>
      <c r="H48" s="5" t="n">
        <f aca="false">SUMPRODUCT((Data!$A$2:$A$909=DATE(2026,7,25))*EXACT(Data!$B$2:$B$909,$A48)*EXACT(Data!$C$2:$C$909,$B48)*Data!$D$2:$D$909)</f>
        <v>13</v>
      </c>
      <c r="I48" s="5" t="n">
        <f aca="false">SUMPRODUCT((Data!$A$2:$A$909=DATE(2026,7,26))*EXACT(Data!$B$2:$B$909,$A48)*EXACT(Data!$C$2:$C$909,$B48)*Data!$D$2:$D$909)</f>
        <v>1</v>
      </c>
      <c r="J48" s="6" t="n">
        <f aca="false">SUM(C48:I48)</f>
        <v>30</v>
      </c>
      <c r="K48" s="7" t="n">
        <f aca="false">IF(C48=0,"",(I48-C48)/C48)</f>
        <v>-0.75</v>
      </c>
    </row>
    <row r="49" customFormat="false" ht="15" hidden="false" customHeight="false" outlineLevel="0" collapsed="false">
      <c r="A49" s="3" t="s">
        <v>41</v>
      </c>
      <c r="B49" s="3" t="s">
        <v>11</v>
      </c>
      <c r="C49" s="5" t="n">
        <f aca="false">SUMPRODUCT((Data!$A$2:$A$909=DATE(2026,7,20))*EXACT(Data!$B$2:$B$909,$A49)*EXACT(Data!$C$2:$C$909,$B49)*Data!$D$2:$D$909)</f>
        <v>1175</v>
      </c>
      <c r="D49" s="5" t="n">
        <f aca="false">SUMPRODUCT((Data!$A$2:$A$909=DATE(2026,7,21))*EXACT(Data!$B$2:$B$909,$A49)*EXACT(Data!$C$2:$C$909,$B49)*Data!$D$2:$D$909)</f>
        <v>1004</v>
      </c>
      <c r="E49" s="5" t="n">
        <f aca="false">SUMPRODUCT((Data!$A$2:$A$909=DATE(2026,7,22))*EXACT(Data!$B$2:$B$909,$A49)*EXACT(Data!$C$2:$C$909,$B49)*Data!$D$2:$D$909)</f>
        <v>948</v>
      </c>
      <c r="F49" s="5" t="n">
        <f aca="false">SUMPRODUCT((Data!$A$2:$A$909=DATE(2026,7,23))*EXACT(Data!$B$2:$B$909,$A49)*EXACT(Data!$C$2:$C$909,$B49)*Data!$D$2:$D$909)</f>
        <v>1049</v>
      </c>
      <c r="G49" s="5" t="n">
        <f aca="false">SUMPRODUCT((Data!$A$2:$A$909=DATE(2026,7,24))*EXACT(Data!$B$2:$B$909,$A49)*EXACT(Data!$C$2:$C$909,$B49)*Data!$D$2:$D$909)</f>
        <v>1208</v>
      </c>
      <c r="H49" s="5" t="n">
        <f aca="false">SUMPRODUCT((Data!$A$2:$A$909=DATE(2026,7,25))*EXACT(Data!$B$2:$B$909,$A49)*EXACT(Data!$C$2:$C$909,$B49)*Data!$D$2:$D$909)</f>
        <v>225</v>
      </c>
      <c r="I49" s="5" t="n">
        <f aca="false">SUMPRODUCT((Data!$A$2:$A$909=DATE(2026,7,26))*EXACT(Data!$B$2:$B$909,$A49)*EXACT(Data!$C$2:$C$909,$B49)*Data!$D$2:$D$909)</f>
        <v>247</v>
      </c>
      <c r="J49" s="6" t="n">
        <f aca="false">SUM(C49:I49)</f>
        <v>5856</v>
      </c>
      <c r="K49" s="7" t="n">
        <f aca="false">IF(C49=0,"",(I49-C49)/C49)</f>
        <v>-0.789787234042553</v>
      </c>
    </row>
    <row r="50" customFormat="false" ht="15" hidden="false" customHeight="false" outlineLevel="0" collapsed="false">
      <c r="A50" s="3" t="s">
        <v>43</v>
      </c>
      <c r="B50" s="3" t="s">
        <v>16</v>
      </c>
      <c r="C50" s="5" t="n">
        <f aca="false">SUMPRODUCT((Data!$A$2:$A$909=DATE(2026,7,20))*EXACT(Data!$B$2:$B$909,$A50)*EXACT(Data!$C$2:$C$909,$B50)*Data!$D$2:$D$909)</f>
        <v>122</v>
      </c>
      <c r="D50" s="5" t="n">
        <f aca="false">SUMPRODUCT((Data!$A$2:$A$909=DATE(2026,7,21))*EXACT(Data!$B$2:$B$909,$A50)*EXACT(Data!$C$2:$C$909,$B50)*Data!$D$2:$D$909)</f>
        <v>99</v>
      </c>
      <c r="E50" s="5" t="n">
        <f aca="false">SUMPRODUCT((Data!$A$2:$A$909=DATE(2026,7,22))*EXACT(Data!$B$2:$B$909,$A50)*EXACT(Data!$C$2:$C$909,$B50)*Data!$D$2:$D$909)</f>
        <v>188</v>
      </c>
      <c r="F50" s="5" t="n">
        <f aca="false">SUMPRODUCT((Data!$A$2:$A$909=DATE(2026,7,23))*EXACT(Data!$B$2:$B$909,$A50)*EXACT(Data!$C$2:$C$909,$B50)*Data!$D$2:$D$909)</f>
        <v>213</v>
      </c>
      <c r="G50" s="5" t="n">
        <f aca="false">SUMPRODUCT((Data!$A$2:$A$909=DATE(2026,7,24))*EXACT(Data!$B$2:$B$909,$A50)*EXACT(Data!$C$2:$C$909,$B50)*Data!$D$2:$D$909)</f>
        <v>293</v>
      </c>
      <c r="H50" s="5" t="n">
        <f aca="false">SUMPRODUCT((Data!$A$2:$A$909=DATE(2026,7,25))*EXACT(Data!$B$2:$B$909,$A50)*EXACT(Data!$C$2:$C$909,$B50)*Data!$D$2:$D$909)</f>
        <v>0</v>
      </c>
      <c r="I50" s="5" t="n">
        <f aca="false">SUMPRODUCT((Data!$A$2:$A$909=DATE(2026,7,26))*EXACT(Data!$B$2:$B$909,$A50)*EXACT(Data!$C$2:$C$909,$B50)*Data!$D$2:$D$909)</f>
        <v>0</v>
      </c>
      <c r="J50" s="6" t="n">
        <f aca="false">SUM(C50:I50)</f>
        <v>915</v>
      </c>
      <c r="K50" s="7" t="n">
        <f aca="false">IF(C50=0,"",(I50-C50)/C50)</f>
        <v>-1</v>
      </c>
    </row>
    <row r="51" customFormat="false" ht="15" hidden="false" customHeight="false" outlineLevel="0" collapsed="false">
      <c r="A51" s="3" t="s">
        <v>44</v>
      </c>
      <c r="B51" s="3" t="s">
        <v>16</v>
      </c>
      <c r="C51" s="5" t="n">
        <f aca="false">SUMPRODUCT((Data!$A$2:$A$909=DATE(2026,7,20))*EXACT(Data!$B$2:$B$909,$A51)*EXACT(Data!$C$2:$C$909,$B51)*Data!$D$2:$D$909)</f>
        <v>3</v>
      </c>
      <c r="D51" s="5" t="n">
        <f aca="false">SUMPRODUCT((Data!$A$2:$A$909=DATE(2026,7,21))*EXACT(Data!$B$2:$B$909,$A51)*EXACT(Data!$C$2:$C$909,$B51)*Data!$D$2:$D$909)</f>
        <v>4</v>
      </c>
      <c r="E51" s="5" t="n">
        <f aca="false">SUMPRODUCT((Data!$A$2:$A$909=DATE(2026,7,22))*EXACT(Data!$B$2:$B$909,$A51)*EXACT(Data!$C$2:$C$909,$B51)*Data!$D$2:$D$909)</f>
        <v>5</v>
      </c>
      <c r="F51" s="5" t="n">
        <f aca="false">SUMPRODUCT((Data!$A$2:$A$909=DATE(2026,7,23))*EXACT(Data!$B$2:$B$909,$A51)*EXACT(Data!$C$2:$C$909,$B51)*Data!$D$2:$D$909)</f>
        <v>18</v>
      </c>
      <c r="G51" s="5" t="n">
        <f aca="false">SUMPRODUCT((Data!$A$2:$A$909=DATE(2026,7,24))*EXACT(Data!$B$2:$B$909,$A51)*EXACT(Data!$C$2:$C$909,$B51)*Data!$D$2:$D$909)</f>
        <v>5</v>
      </c>
      <c r="H51" s="5" t="n">
        <f aca="false">SUMPRODUCT((Data!$A$2:$A$909=DATE(2026,7,25))*EXACT(Data!$B$2:$B$909,$A51)*EXACT(Data!$C$2:$C$909,$B51)*Data!$D$2:$D$909)</f>
        <v>0</v>
      </c>
      <c r="I51" s="5" t="n">
        <f aca="false">SUMPRODUCT((Data!$A$2:$A$909=DATE(2026,7,26))*EXACT(Data!$B$2:$B$909,$A51)*EXACT(Data!$C$2:$C$909,$B51)*Data!$D$2:$D$909)</f>
        <v>0</v>
      </c>
      <c r="J51" s="6" t="n">
        <f aca="false">SUM(C51:I51)</f>
        <v>35</v>
      </c>
      <c r="K51" s="7" t="n">
        <f aca="false">IF(C51=0,"",(I51-C51)/C51)</f>
        <v>-1</v>
      </c>
    </row>
    <row r="52" customFormat="false" ht="15" hidden="false" customHeight="false" outlineLevel="0" collapsed="false">
      <c r="A52" s="3" t="s">
        <v>45</v>
      </c>
      <c r="B52" s="3" t="s">
        <v>14</v>
      </c>
      <c r="C52" s="5" t="n">
        <f aca="false">SUMPRODUCT((Data!$A$2:$A$909=DATE(2026,7,20))*EXACT(Data!$B$2:$B$909,$A52)*EXACT(Data!$C$2:$C$909,$B52)*Data!$D$2:$D$909)</f>
        <v>15</v>
      </c>
      <c r="D52" s="5" t="n">
        <f aca="false">SUMPRODUCT((Data!$A$2:$A$909=DATE(2026,7,21))*EXACT(Data!$B$2:$B$909,$A52)*EXACT(Data!$C$2:$C$909,$B52)*Data!$D$2:$D$909)</f>
        <v>0</v>
      </c>
      <c r="E52" s="5" t="n">
        <f aca="false">SUMPRODUCT((Data!$A$2:$A$909=DATE(2026,7,22))*EXACT(Data!$B$2:$B$909,$A52)*EXACT(Data!$C$2:$C$909,$B52)*Data!$D$2:$D$909)</f>
        <v>0</v>
      </c>
      <c r="F52" s="5" t="n">
        <f aca="false">SUMPRODUCT((Data!$A$2:$A$909=DATE(2026,7,23))*EXACT(Data!$B$2:$B$909,$A52)*EXACT(Data!$C$2:$C$909,$B52)*Data!$D$2:$D$909)</f>
        <v>0</v>
      </c>
      <c r="G52" s="5" t="n">
        <f aca="false">SUMPRODUCT((Data!$A$2:$A$909=DATE(2026,7,24))*EXACT(Data!$B$2:$B$909,$A52)*EXACT(Data!$C$2:$C$909,$B52)*Data!$D$2:$D$909)</f>
        <v>0</v>
      </c>
      <c r="H52" s="5" t="n">
        <f aca="false">SUMPRODUCT((Data!$A$2:$A$909=DATE(2026,7,25))*EXACT(Data!$B$2:$B$909,$A52)*EXACT(Data!$C$2:$C$909,$B52)*Data!$D$2:$D$909)</f>
        <v>0</v>
      </c>
      <c r="I52" s="5" t="n">
        <f aca="false">SUMPRODUCT((Data!$A$2:$A$909=DATE(2026,7,26))*EXACT(Data!$B$2:$B$909,$A52)*EXACT(Data!$C$2:$C$909,$B52)*Data!$D$2:$D$909)</f>
        <v>0</v>
      </c>
      <c r="J52" s="6" t="n">
        <f aca="false">SUM(C52:I52)</f>
        <v>15</v>
      </c>
      <c r="K52" s="7" t="n">
        <f aca="false">IF(C52=0,"",(I52-C52)/C52)</f>
        <v>-1</v>
      </c>
    </row>
    <row r="53" customFormat="false" ht="15" hidden="false" customHeight="false" outlineLevel="0" collapsed="false">
      <c r="A53" s="3" t="s">
        <v>45</v>
      </c>
      <c r="B53" s="3" t="s">
        <v>26</v>
      </c>
      <c r="C53" s="5" t="n">
        <f aca="false">SUMPRODUCT((Data!$A$2:$A$909=DATE(2026,7,20))*EXACT(Data!$B$2:$B$909,$A53)*EXACT(Data!$C$2:$C$909,$B53)*Data!$D$2:$D$909)</f>
        <v>6</v>
      </c>
      <c r="D53" s="5" t="n">
        <f aca="false">SUMPRODUCT((Data!$A$2:$A$909=DATE(2026,7,21))*EXACT(Data!$B$2:$B$909,$A53)*EXACT(Data!$C$2:$C$909,$B53)*Data!$D$2:$D$909)</f>
        <v>0</v>
      </c>
      <c r="E53" s="5" t="n">
        <f aca="false">SUMPRODUCT((Data!$A$2:$A$909=DATE(2026,7,22))*EXACT(Data!$B$2:$B$909,$A53)*EXACT(Data!$C$2:$C$909,$B53)*Data!$D$2:$D$909)</f>
        <v>0</v>
      </c>
      <c r="F53" s="5" t="n">
        <f aca="false">SUMPRODUCT((Data!$A$2:$A$909=DATE(2026,7,23))*EXACT(Data!$B$2:$B$909,$A53)*EXACT(Data!$C$2:$C$909,$B53)*Data!$D$2:$D$909)</f>
        <v>0</v>
      </c>
      <c r="G53" s="5" t="n">
        <f aca="false">SUMPRODUCT((Data!$A$2:$A$909=DATE(2026,7,24))*EXACT(Data!$B$2:$B$909,$A53)*EXACT(Data!$C$2:$C$909,$B53)*Data!$D$2:$D$909)</f>
        <v>0</v>
      </c>
      <c r="H53" s="5" t="n">
        <f aca="false">SUMPRODUCT((Data!$A$2:$A$909=DATE(2026,7,25))*EXACT(Data!$B$2:$B$909,$A53)*EXACT(Data!$C$2:$C$909,$B53)*Data!$D$2:$D$909)</f>
        <v>0</v>
      </c>
      <c r="I53" s="5" t="n">
        <f aca="false">SUMPRODUCT((Data!$A$2:$A$909=DATE(2026,7,26))*EXACT(Data!$B$2:$B$909,$A53)*EXACT(Data!$C$2:$C$909,$B53)*Data!$D$2:$D$909)</f>
        <v>0</v>
      </c>
      <c r="J53" s="6" t="n">
        <f aca="false">SUM(C53:I53)</f>
        <v>6</v>
      </c>
      <c r="K53" s="7" t="n">
        <f aca="false">IF(C53=0,"",(I53-C53)/C53)</f>
        <v>-1</v>
      </c>
    </row>
    <row r="54" customFormat="false" ht="15" hidden="false" customHeight="false" outlineLevel="0" collapsed="false">
      <c r="A54" s="3" t="s">
        <v>45</v>
      </c>
      <c r="B54" s="3" t="s">
        <v>38</v>
      </c>
      <c r="C54" s="5" t="n">
        <f aca="false">SUMPRODUCT((Data!$A$2:$A$909=DATE(2026,7,20))*EXACT(Data!$B$2:$B$909,$A54)*EXACT(Data!$C$2:$C$909,$B54)*Data!$D$2:$D$909)</f>
        <v>7</v>
      </c>
      <c r="D54" s="5" t="n">
        <f aca="false">SUMPRODUCT((Data!$A$2:$A$909=DATE(2026,7,21))*EXACT(Data!$B$2:$B$909,$A54)*EXACT(Data!$C$2:$C$909,$B54)*Data!$D$2:$D$909)</f>
        <v>0</v>
      </c>
      <c r="E54" s="5" t="n">
        <f aca="false">SUMPRODUCT((Data!$A$2:$A$909=DATE(2026,7,22))*EXACT(Data!$B$2:$B$909,$A54)*EXACT(Data!$C$2:$C$909,$B54)*Data!$D$2:$D$909)</f>
        <v>0</v>
      </c>
      <c r="F54" s="5" t="n">
        <f aca="false">SUMPRODUCT((Data!$A$2:$A$909=DATE(2026,7,23))*EXACT(Data!$B$2:$B$909,$A54)*EXACT(Data!$C$2:$C$909,$B54)*Data!$D$2:$D$909)</f>
        <v>0</v>
      </c>
      <c r="G54" s="5" t="n">
        <f aca="false">SUMPRODUCT((Data!$A$2:$A$909=DATE(2026,7,24))*EXACT(Data!$B$2:$B$909,$A54)*EXACT(Data!$C$2:$C$909,$B54)*Data!$D$2:$D$909)</f>
        <v>0</v>
      </c>
      <c r="H54" s="5" t="n">
        <f aca="false">SUMPRODUCT((Data!$A$2:$A$909=DATE(2026,7,25))*EXACT(Data!$B$2:$B$909,$A54)*EXACT(Data!$C$2:$C$909,$B54)*Data!$D$2:$D$909)</f>
        <v>0</v>
      </c>
      <c r="I54" s="5" t="n">
        <f aca="false">SUMPRODUCT((Data!$A$2:$A$909=DATE(2026,7,26))*EXACT(Data!$B$2:$B$909,$A54)*EXACT(Data!$C$2:$C$909,$B54)*Data!$D$2:$D$909)</f>
        <v>0</v>
      </c>
      <c r="J54" s="6" t="n">
        <f aca="false">SUM(C54:I54)</f>
        <v>7</v>
      </c>
      <c r="K54" s="7" t="n">
        <f aca="false">IF(C54=0,"",(I54-C54)/C54)</f>
        <v>-1</v>
      </c>
    </row>
    <row r="55" customFormat="false" ht="15" hidden="false" customHeight="false" outlineLevel="0" collapsed="false">
      <c r="A55" s="3" t="s">
        <v>45</v>
      </c>
      <c r="B55" s="3" t="s">
        <v>28</v>
      </c>
      <c r="C55" s="5" t="n">
        <f aca="false">SUMPRODUCT((Data!$A$2:$A$909=DATE(2026,7,20))*EXACT(Data!$B$2:$B$909,$A55)*EXACT(Data!$C$2:$C$909,$B55)*Data!$D$2:$D$909)</f>
        <v>3</v>
      </c>
      <c r="D55" s="5" t="n">
        <f aca="false">SUMPRODUCT((Data!$A$2:$A$909=DATE(2026,7,21))*EXACT(Data!$B$2:$B$909,$A55)*EXACT(Data!$C$2:$C$909,$B55)*Data!$D$2:$D$909)</f>
        <v>0</v>
      </c>
      <c r="E55" s="5" t="n">
        <f aca="false">SUMPRODUCT((Data!$A$2:$A$909=DATE(2026,7,22))*EXACT(Data!$B$2:$B$909,$A55)*EXACT(Data!$C$2:$C$909,$B55)*Data!$D$2:$D$909)</f>
        <v>0</v>
      </c>
      <c r="F55" s="5" t="n">
        <f aca="false">SUMPRODUCT((Data!$A$2:$A$909=DATE(2026,7,23))*EXACT(Data!$B$2:$B$909,$A55)*EXACT(Data!$C$2:$C$909,$B55)*Data!$D$2:$D$909)</f>
        <v>0</v>
      </c>
      <c r="G55" s="5" t="n">
        <f aca="false">SUMPRODUCT((Data!$A$2:$A$909=DATE(2026,7,24))*EXACT(Data!$B$2:$B$909,$A55)*EXACT(Data!$C$2:$C$909,$B55)*Data!$D$2:$D$909)</f>
        <v>0</v>
      </c>
      <c r="H55" s="5" t="n">
        <f aca="false">SUMPRODUCT((Data!$A$2:$A$909=DATE(2026,7,25))*EXACT(Data!$B$2:$B$909,$A55)*EXACT(Data!$C$2:$C$909,$B55)*Data!$D$2:$D$909)</f>
        <v>0</v>
      </c>
      <c r="I55" s="5" t="n">
        <f aca="false">SUMPRODUCT((Data!$A$2:$A$909=DATE(2026,7,26))*EXACT(Data!$B$2:$B$909,$A55)*EXACT(Data!$C$2:$C$909,$B55)*Data!$D$2:$D$909)</f>
        <v>0</v>
      </c>
      <c r="J55" s="6" t="n">
        <f aca="false">SUM(C55:I55)</f>
        <v>3</v>
      </c>
      <c r="K55" s="7" t="n">
        <f aca="false">IF(C55=0,"",(I55-C55)/C55)</f>
        <v>-1</v>
      </c>
    </row>
    <row r="56" customFormat="false" ht="15" hidden="false" customHeight="false" outlineLevel="0" collapsed="false">
      <c r="A56" s="3" t="s">
        <v>45</v>
      </c>
      <c r="B56" s="3" t="s">
        <v>39</v>
      </c>
      <c r="C56" s="5" t="n">
        <f aca="false">SUMPRODUCT((Data!$A$2:$A$909=DATE(2026,7,20))*EXACT(Data!$B$2:$B$909,$A56)*EXACT(Data!$C$2:$C$909,$B56)*Data!$D$2:$D$909)</f>
        <v>6</v>
      </c>
      <c r="D56" s="5" t="n">
        <f aca="false">SUMPRODUCT((Data!$A$2:$A$909=DATE(2026,7,21))*EXACT(Data!$B$2:$B$909,$A56)*EXACT(Data!$C$2:$C$909,$B56)*Data!$D$2:$D$909)</f>
        <v>0</v>
      </c>
      <c r="E56" s="5" t="n">
        <f aca="false">SUMPRODUCT((Data!$A$2:$A$909=DATE(2026,7,22))*EXACT(Data!$B$2:$B$909,$A56)*EXACT(Data!$C$2:$C$909,$B56)*Data!$D$2:$D$909)</f>
        <v>0</v>
      </c>
      <c r="F56" s="5" t="n">
        <f aca="false">SUMPRODUCT((Data!$A$2:$A$909=DATE(2026,7,23))*EXACT(Data!$B$2:$B$909,$A56)*EXACT(Data!$C$2:$C$909,$B56)*Data!$D$2:$D$909)</f>
        <v>0</v>
      </c>
      <c r="G56" s="5" t="n">
        <f aca="false">SUMPRODUCT((Data!$A$2:$A$909=DATE(2026,7,24))*EXACT(Data!$B$2:$B$909,$A56)*EXACT(Data!$C$2:$C$909,$B56)*Data!$D$2:$D$909)</f>
        <v>0</v>
      </c>
      <c r="H56" s="5" t="n">
        <f aca="false">SUMPRODUCT((Data!$A$2:$A$909=DATE(2026,7,25))*EXACT(Data!$B$2:$B$909,$A56)*EXACT(Data!$C$2:$C$909,$B56)*Data!$D$2:$D$909)</f>
        <v>0</v>
      </c>
      <c r="I56" s="5" t="n">
        <f aca="false">SUMPRODUCT((Data!$A$2:$A$909=DATE(2026,7,26))*EXACT(Data!$B$2:$B$909,$A56)*EXACT(Data!$C$2:$C$909,$B56)*Data!$D$2:$D$909)</f>
        <v>0</v>
      </c>
      <c r="J56" s="6" t="n">
        <f aca="false">SUM(C56:I56)</f>
        <v>6</v>
      </c>
      <c r="K56" s="7" t="n">
        <f aca="false">IF(C56=0,"",(I56-C56)/C56)</f>
        <v>-1</v>
      </c>
    </row>
    <row r="57" customFormat="false" ht="15" hidden="false" customHeight="false" outlineLevel="0" collapsed="false">
      <c r="A57" s="3" t="s">
        <v>46</v>
      </c>
      <c r="B57" s="3" t="s">
        <v>16</v>
      </c>
      <c r="C57" s="5" t="n">
        <f aca="false">SUMPRODUCT((Data!$A$2:$A$909=DATE(2026,7,20))*EXACT(Data!$B$2:$B$909,$A57)*EXACT(Data!$C$2:$C$909,$B57)*Data!$D$2:$D$909)</f>
        <v>7756</v>
      </c>
      <c r="D57" s="5" t="n">
        <f aca="false">SUMPRODUCT((Data!$A$2:$A$909=DATE(2026,7,21))*EXACT(Data!$B$2:$B$909,$A57)*EXACT(Data!$C$2:$C$909,$B57)*Data!$D$2:$D$909)</f>
        <v>7777</v>
      </c>
      <c r="E57" s="5" t="n">
        <f aca="false">SUMPRODUCT((Data!$A$2:$A$909=DATE(2026,7,22))*EXACT(Data!$B$2:$B$909,$A57)*EXACT(Data!$C$2:$C$909,$B57)*Data!$D$2:$D$909)</f>
        <v>6867</v>
      </c>
      <c r="F57" s="5" t="n">
        <f aca="false">SUMPRODUCT((Data!$A$2:$A$909=DATE(2026,7,23))*EXACT(Data!$B$2:$B$909,$A57)*EXACT(Data!$C$2:$C$909,$B57)*Data!$D$2:$D$909)</f>
        <v>6813</v>
      </c>
      <c r="G57" s="5" t="n">
        <f aca="false">SUMPRODUCT((Data!$A$2:$A$909=DATE(2026,7,24))*EXACT(Data!$B$2:$B$909,$A57)*EXACT(Data!$C$2:$C$909,$B57)*Data!$D$2:$D$909)</f>
        <v>6809</v>
      </c>
      <c r="H57" s="5" t="n">
        <f aca="false">SUMPRODUCT((Data!$A$2:$A$909=DATE(2026,7,25))*EXACT(Data!$B$2:$B$909,$A57)*EXACT(Data!$C$2:$C$909,$B57)*Data!$D$2:$D$909)</f>
        <v>3941</v>
      </c>
      <c r="I57" s="5" t="n">
        <f aca="false">SUMPRODUCT((Data!$A$2:$A$909=DATE(2026,7,26))*EXACT(Data!$B$2:$B$909,$A57)*EXACT(Data!$C$2:$C$909,$B57)*Data!$D$2:$D$909)</f>
        <v>3760</v>
      </c>
      <c r="J57" s="6" t="n">
        <f aca="false">SUM(C57:I57)</f>
        <v>43723</v>
      </c>
      <c r="K57" s="7" t="n">
        <f aca="false">IF(C57=0,"",(I57-C57)/C57)</f>
        <v>-0.515214027849407</v>
      </c>
    </row>
    <row r="58" customFormat="false" ht="15" hidden="false" customHeight="false" outlineLevel="0" collapsed="false">
      <c r="A58" s="3" t="s">
        <v>47</v>
      </c>
      <c r="B58" s="3" t="s">
        <v>16</v>
      </c>
      <c r="C58" s="5" t="n">
        <f aca="false">SUMPRODUCT((Data!$A$2:$A$909=DATE(2026,7,20))*EXACT(Data!$B$2:$B$909,$A58)*EXACT(Data!$C$2:$C$909,$B58)*Data!$D$2:$D$909)</f>
        <v>103</v>
      </c>
      <c r="D58" s="5" t="n">
        <f aca="false">SUMPRODUCT((Data!$A$2:$A$909=DATE(2026,7,21))*EXACT(Data!$B$2:$B$909,$A58)*EXACT(Data!$C$2:$C$909,$B58)*Data!$D$2:$D$909)</f>
        <v>70</v>
      </c>
      <c r="E58" s="5" t="n">
        <f aca="false">SUMPRODUCT((Data!$A$2:$A$909=DATE(2026,7,22))*EXACT(Data!$B$2:$B$909,$A58)*EXACT(Data!$C$2:$C$909,$B58)*Data!$D$2:$D$909)</f>
        <v>68</v>
      </c>
      <c r="F58" s="5" t="n">
        <f aca="false">SUMPRODUCT((Data!$A$2:$A$909=DATE(2026,7,23))*EXACT(Data!$B$2:$B$909,$A58)*EXACT(Data!$C$2:$C$909,$B58)*Data!$D$2:$D$909)</f>
        <v>82</v>
      </c>
      <c r="G58" s="5" t="n">
        <f aca="false">SUMPRODUCT((Data!$A$2:$A$909=DATE(2026,7,24))*EXACT(Data!$B$2:$B$909,$A58)*EXACT(Data!$C$2:$C$909,$B58)*Data!$D$2:$D$909)</f>
        <v>60</v>
      </c>
      <c r="H58" s="5" t="n">
        <f aca="false">SUMPRODUCT((Data!$A$2:$A$909=DATE(2026,7,25))*EXACT(Data!$B$2:$B$909,$A58)*EXACT(Data!$C$2:$C$909,$B58)*Data!$D$2:$D$909)</f>
        <v>7</v>
      </c>
      <c r="I58" s="5" t="n">
        <f aca="false">SUMPRODUCT((Data!$A$2:$A$909=DATE(2026,7,26))*EXACT(Data!$B$2:$B$909,$A58)*EXACT(Data!$C$2:$C$909,$B58)*Data!$D$2:$D$909)</f>
        <v>16</v>
      </c>
      <c r="J58" s="6" t="n">
        <f aca="false">SUM(C58:I58)</f>
        <v>406</v>
      </c>
      <c r="K58" s="7" t="n">
        <f aca="false">IF(C58=0,"",(I58-C58)/C58)</f>
        <v>-0.844660194174757</v>
      </c>
    </row>
    <row r="59" customFormat="false" ht="15" hidden="false" customHeight="false" outlineLevel="0" collapsed="false">
      <c r="A59" s="3" t="s">
        <v>48</v>
      </c>
      <c r="B59" s="3" t="s">
        <v>14</v>
      </c>
      <c r="C59" s="5" t="n">
        <f aca="false">SUMPRODUCT((Data!$A$2:$A$909=DATE(2026,7,20))*EXACT(Data!$B$2:$B$909,$A59)*EXACT(Data!$C$2:$C$909,$B59)*Data!$D$2:$D$909)</f>
        <v>11</v>
      </c>
      <c r="D59" s="5" t="n">
        <f aca="false">SUMPRODUCT((Data!$A$2:$A$909=DATE(2026,7,21))*EXACT(Data!$B$2:$B$909,$A59)*EXACT(Data!$C$2:$C$909,$B59)*Data!$D$2:$D$909)</f>
        <v>13</v>
      </c>
      <c r="E59" s="5" t="n">
        <f aca="false">SUMPRODUCT((Data!$A$2:$A$909=DATE(2026,7,22))*EXACT(Data!$B$2:$B$909,$A59)*EXACT(Data!$C$2:$C$909,$B59)*Data!$D$2:$D$909)</f>
        <v>7</v>
      </c>
      <c r="F59" s="5" t="n">
        <f aca="false">SUMPRODUCT((Data!$A$2:$A$909=DATE(2026,7,23))*EXACT(Data!$B$2:$B$909,$A59)*EXACT(Data!$C$2:$C$909,$B59)*Data!$D$2:$D$909)</f>
        <v>8</v>
      </c>
      <c r="G59" s="5" t="n">
        <f aca="false">SUMPRODUCT((Data!$A$2:$A$909=DATE(2026,7,24))*EXACT(Data!$B$2:$B$909,$A59)*EXACT(Data!$C$2:$C$909,$B59)*Data!$D$2:$D$909)</f>
        <v>7</v>
      </c>
      <c r="H59" s="5" t="n">
        <f aca="false">SUMPRODUCT((Data!$A$2:$A$909=DATE(2026,7,25))*EXACT(Data!$B$2:$B$909,$A59)*EXACT(Data!$C$2:$C$909,$B59)*Data!$D$2:$D$909)</f>
        <v>4</v>
      </c>
      <c r="I59" s="5" t="n">
        <f aca="false">SUMPRODUCT((Data!$A$2:$A$909=DATE(2026,7,26))*EXACT(Data!$B$2:$B$909,$A59)*EXACT(Data!$C$2:$C$909,$B59)*Data!$D$2:$D$909)</f>
        <v>4</v>
      </c>
      <c r="J59" s="6" t="n">
        <f aca="false">SUM(C59:I59)</f>
        <v>54</v>
      </c>
      <c r="K59" s="7" t="n">
        <f aca="false">IF(C59=0,"",(I59-C59)/C59)</f>
        <v>-0.636363636363636</v>
      </c>
    </row>
    <row r="60" customFormat="false" ht="15" hidden="false" customHeight="false" outlineLevel="0" collapsed="false">
      <c r="A60" s="3" t="s">
        <v>48</v>
      </c>
      <c r="B60" s="3" t="s">
        <v>38</v>
      </c>
      <c r="C60" s="5" t="n">
        <f aca="false">SUMPRODUCT((Data!$A$2:$A$909=DATE(2026,7,20))*EXACT(Data!$B$2:$B$909,$A60)*EXACT(Data!$C$2:$C$909,$B60)*Data!$D$2:$D$909)</f>
        <v>11</v>
      </c>
      <c r="D60" s="5" t="n">
        <f aca="false">SUMPRODUCT((Data!$A$2:$A$909=DATE(2026,7,21))*EXACT(Data!$B$2:$B$909,$A60)*EXACT(Data!$C$2:$C$909,$B60)*Data!$D$2:$D$909)</f>
        <v>13</v>
      </c>
      <c r="E60" s="5" t="n">
        <f aca="false">SUMPRODUCT((Data!$A$2:$A$909=DATE(2026,7,22))*EXACT(Data!$B$2:$B$909,$A60)*EXACT(Data!$C$2:$C$909,$B60)*Data!$D$2:$D$909)</f>
        <v>6</v>
      </c>
      <c r="F60" s="5" t="n">
        <f aca="false">SUMPRODUCT((Data!$A$2:$A$909=DATE(2026,7,23))*EXACT(Data!$B$2:$B$909,$A60)*EXACT(Data!$C$2:$C$909,$B60)*Data!$D$2:$D$909)</f>
        <v>7</v>
      </c>
      <c r="G60" s="5" t="n">
        <f aca="false">SUMPRODUCT((Data!$A$2:$A$909=DATE(2026,7,24))*EXACT(Data!$B$2:$B$909,$A60)*EXACT(Data!$C$2:$C$909,$B60)*Data!$D$2:$D$909)</f>
        <v>6</v>
      </c>
      <c r="H60" s="5" t="n">
        <f aca="false">SUMPRODUCT((Data!$A$2:$A$909=DATE(2026,7,25))*EXACT(Data!$B$2:$B$909,$A60)*EXACT(Data!$C$2:$C$909,$B60)*Data!$D$2:$D$909)</f>
        <v>4</v>
      </c>
      <c r="I60" s="5" t="n">
        <f aca="false">SUMPRODUCT((Data!$A$2:$A$909=DATE(2026,7,26))*EXACT(Data!$B$2:$B$909,$A60)*EXACT(Data!$C$2:$C$909,$B60)*Data!$D$2:$D$909)</f>
        <v>6</v>
      </c>
      <c r="J60" s="6" t="n">
        <f aca="false">SUM(C60:I60)</f>
        <v>53</v>
      </c>
      <c r="K60" s="7" t="n">
        <f aca="false">IF(C60=0,"",(I60-C60)/C60)</f>
        <v>-0.454545454545455</v>
      </c>
    </row>
    <row r="61" customFormat="false" ht="15" hidden="false" customHeight="false" outlineLevel="0" collapsed="false">
      <c r="A61" s="3" t="s">
        <v>48</v>
      </c>
      <c r="B61" s="3" t="s">
        <v>39</v>
      </c>
      <c r="C61" s="5" t="n">
        <f aca="false">SUMPRODUCT((Data!$A$2:$A$909=DATE(2026,7,20))*EXACT(Data!$B$2:$B$909,$A61)*EXACT(Data!$C$2:$C$909,$B61)*Data!$D$2:$D$909)</f>
        <v>5</v>
      </c>
      <c r="D61" s="5" t="n">
        <f aca="false">SUMPRODUCT((Data!$A$2:$A$909=DATE(2026,7,21))*EXACT(Data!$B$2:$B$909,$A61)*EXACT(Data!$C$2:$C$909,$B61)*Data!$D$2:$D$909)</f>
        <v>7</v>
      </c>
      <c r="E61" s="5" t="n">
        <f aca="false">SUMPRODUCT((Data!$A$2:$A$909=DATE(2026,7,22))*EXACT(Data!$B$2:$B$909,$A61)*EXACT(Data!$C$2:$C$909,$B61)*Data!$D$2:$D$909)</f>
        <v>3</v>
      </c>
      <c r="F61" s="5" t="n">
        <f aca="false">SUMPRODUCT((Data!$A$2:$A$909=DATE(2026,7,23))*EXACT(Data!$B$2:$B$909,$A61)*EXACT(Data!$C$2:$C$909,$B61)*Data!$D$2:$D$909)</f>
        <v>8</v>
      </c>
      <c r="G61" s="5" t="n">
        <f aca="false">SUMPRODUCT((Data!$A$2:$A$909=DATE(2026,7,24))*EXACT(Data!$B$2:$B$909,$A61)*EXACT(Data!$C$2:$C$909,$B61)*Data!$D$2:$D$909)</f>
        <v>6</v>
      </c>
      <c r="H61" s="5" t="n">
        <f aca="false">SUMPRODUCT((Data!$A$2:$A$909=DATE(2026,7,25))*EXACT(Data!$B$2:$B$909,$A61)*EXACT(Data!$C$2:$C$909,$B61)*Data!$D$2:$D$909)</f>
        <v>0</v>
      </c>
      <c r="I61" s="5" t="n">
        <f aca="false">SUMPRODUCT((Data!$A$2:$A$909=DATE(2026,7,26))*EXACT(Data!$B$2:$B$909,$A61)*EXACT(Data!$C$2:$C$909,$B61)*Data!$D$2:$D$909)</f>
        <v>1</v>
      </c>
      <c r="J61" s="6" t="n">
        <f aca="false">SUM(C61:I61)</f>
        <v>30</v>
      </c>
      <c r="K61" s="7" t="n">
        <f aca="false">IF(C61=0,"",(I61-C61)/C61)</f>
        <v>-0.8</v>
      </c>
    </row>
    <row r="62" customFormat="false" ht="15" hidden="false" customHeight="false" outlineLevel="0" collapsed="false">
      <c r="A62" s="3" t="s">
        <v>49</v>
      </c>
      <c r="B62" s="3" t="s">
        <v>40</v>
      </c>
      <c r="C62" s="5" t="n">
        <f aca="false">SUMPRODUCT((Data!$A$2:$A$909=DATE(2026,7,20))*EXACT(Data!$B$2:$B$909,$A62)*EXACT(Data!$C$2:$C$909,$B62)*Data!$D$2:$D$909)</f>
        <v>12838</v>
      </c>
      <c r="D62" s="5" t="n">
        <f aca="false">SUMPRODUCT((Data!$A$2:$A$909=DATE(2026,7,21))*EXACT(Data!$B$2:$B$909,$A62)*EXACT(Data!$C$2:$C$909,$B62)*Data!$D$2:$D$909)</f>
        <v>14156</v>
      </c>
      <c r="E62" s="5" t="n">
        <f aca="false">SUMPRODUCT((Data!$A$2:$A$909=DATE(2026,7,22))*EXACT(Data!$B$2:$B$909,$A62)*EXACT(Data!$C$2:$C$909,$B62)*Data!$D$2:$D$909)</f>
        <v>11518</v>
      </c>
      <c r="F62" s="5" t="n">
        <f aca="false">SUMPRODUCT((Data!$A$2:$A$909=DATE(2026,7,23))*EXACT(Data!$B$2:$B$909,$A62)*EXACT(Data!$C$2:$C$909,$B62)*Data!$D$2:$D$909)</f>
        <v>11125</v>
      </c>
      <c r="G62" s="5" t="n">
        <f aca="false">SUMPRODUCT((Data!$A$2:$A$909=DATE(2026,7,24))*EXACT(Data!$B$2:$B$909,$A62)*EXACT(Data!$C$2:$C$909,$B62)*Data!$D$2:$D$909)</f>
        <v>12642</v>
      </c>
      <c r="H62" s="5" t="n">
        <f aca="false">SUMPRODUCT((Data!$A$2:$A$909=DATE(2026,7,25))*EXACT(Data!$B$2:$B$909,$A62)*EXACT(Data!$C$2:$C$909,$B62)*Data!$D$2:$D$909)</f>
        <v>13031</v>
      </c>
      <c r="I62" s="5" t="n">
        <f aca="false">SUMPRODUCT((Data!$A$2:$A$909=DATE(2026,7,26))*EXACT(Data!$B$2:$B$909,$A62)*EXACT(Data!$C$2:$C$909,$B62)*Data!$D$2:$D$909)</f>
        <v>11401</v>
      </c>
      <c r="J62" s="6" t="n">
        <f aca="false">SUM(C62:I62)</f>
        <v>86711</v>
      </c>
      <c r="K62" s="7" t="n">
        <f aca="false">IF(C62=0,"",(I62-C62)/C62)</f>
        <v>-0.1119333229475</v>
      </c>
    </row>
    <row r="63" customFormat="false" ht="15" hidden="false" customHeight="false" outlineLevel="0" collapsed="false">
      <c r="A63" s="3" t="s">
        <v>50</v>
      </c>
      <c r="B63" s="3" t="s">
        <v>40</v>
      </c>
      <c r="C63" s="5" t="n">
        <f aca="false">SUMPRODUCT((Data!$A$2:$A$909=DATE(2026,7,20))*EXACT(Data!$B$2:$B$909,$A63)*EXACT(Data!$C$2:$C$909,$B63)*Data!$D$2:$D$909)</f>
        <v>12172</v>
      </c>
      <c r="D63" s="5" t="n">
        <f aca="false">SUMPRODUCT((Data!$A$2:$A$909=DATE(2026,7,21))*EXACT(Data!$B$2:$B$909,$A63)*EXACT(Data!$C$2:$C$909,$B63)*Data!$D$2:$D$909)</f>
        <v>13484</v>
      </c>
      <c r="E63" s="5" t="n">
        <f aca="false">SUMPRODUCT((Data!$A$2:$A$909=DATE(2026,7,22))*EXACT(Data!$B$2:$B$909,$A63)*EXACT(Data!$C$2:$C$909,$B63)*Data!$D$2:$D$909)</f>
        <v>11060</v>
      </c>
      <c r="F63" s="5" t="n">
        <f aca="false">SUMPRODUCT((Data!$A$2:$A$909=DATE(2026,7,23))*EXACT(Data!$B$2:$B$909,$A63)*EXACT(Data!$C$2:$C$909,$B63)*Data!$D$2:$D$909)</f>
        <v>10661</v>
      </c>
      <c r="G63" s="5" t="n">
        <f aca="false">SUMPRODUCT((Data!$A$2:$A$909=DATE(2026,7,24))*EXACT(Data!$B$2:$B$909,$A63)*EXACT(Data!$C$2:$C$909,$B63)*Data!$D$2:$D$909)</f>
        <v>12255</v>
      </c>
      <c r="H63" s="5" t="n">
        <f aca="false">SUMPRODUCT((Data!$A$2:$A$909=DATE(2026,7,25))*EXACT(Data!$B$2:$B$909,$A63)*EXACT(Data!$C$2:$C$909,$B63)*Data!$D$2:$D$909)</f>
        <v>12429</v>
      </c>
      <c r="I63" s="5" t="n">
        <f aca="false">SUMPRODUCT((Data!$A$2:$A$909=DATE(2026,7,26))*EXACT(Data!$B$2:$B$909,$A63)*EXACT(Data!$C$2:$C$909,$B63)*Data!$D$2:$D$909)</f>
        <v>10899</v>
      </c>
      <c r="J63" s="6" t="n">
        <f aca="false">SUM(C63:I63)</f>
        <v>82960</v>
      </c>
      <c r="K63" s="7" t="n">
        <f aca="false">IF(C63=0,"",(I63-C63)/C63)</f>
        <v>-0.104584291817286</v>
      </c>
    </row>
    <row r="64" customFormat="false" ht="15" hidden="false" customHeight="false" outlineLevel="0" collapsed="false">
      <c r="A64" s="3" t="s">
        <v>64</v>
      </c>
      <c r="B64" s="3" t="s">
        <v>40</v>
      </c>
      <c r="C64" s="5" t="n">
        <f aca="false">SUMPRODUCT((Data!$A$2:$A$909=DATE(2026,7,20))*EXACT(Data!$B$2:$B$909,$A64)*EXACT(Data!$C$2:$C$909,$B64)*Data!$D$2:$D$909)</f>
        <v>27</v>
      </c>
      <c r="D64" s="5" t="n">
        <f aca="false">SUMPRODUCT((Data!$A$2:$A$909=DATE(2026,7,21))*EXACT(Data!$B$2:$B$909,$A64)*EXACT(Data!$C$2:$C$909,$B64)*Data!$D$2:$D$909)</f>
        <v>5</v>
      </c>
      <c r="E64" s="5" t="n">
        <f aca="false">SUMPRODUCT((Data!$A$2:$A$909=DATE(2026,7,22))*EXACT(Data!$B$2:$B$909,$A64)*EXACT(Data!$C$2:$C$909,$B64)*Data!$D$2:$D$909)</f>
        <v>13</v>
      </c>
      <c r="F64" s="5" t="n">
        <f aca="false">SUMPRODUCT((Data!$A$2:$A$909=DATE(2026,7,23))*EXACT(Data!$B$2:$B$909,$A64)*EXACT(Data!$C$2:$C$909,$B64)*Data!$D$2:$D$909)</f>
        <v>17</v>
      </c>
      <c r="G64" s="5" t="n">
        <f aca="false">SUMPRODUCT((Data!$A$2:$A$909=DATE(2026,7,24))*EXACT(Data!$B$2:$B$909,$A64)*EXACT(Data!$C$2:$C$909,$B64)*Data!$D$2:$D$909)</f>
        <v>16</v>
      </c>
      <c r="H64" s="5" t="n">
        <f aca="false">SUMPRODUCT((Data!$A$2:$A$909=DATE(2026,7,25))*EXACT(Data!$B$2:$B$909,$A64)*EXACT(Data!$C$2:$C$909,$B64)*Data!$D$2:$D$909)</f>
        <v>1</v>
      </c>
      <c r="I64" s="5" t="n">
        <f aca="false">SUMPRODUCT((Data!$A$2:$A$909=DATE(2026,7,26))*EXACT(Data!$B$2:$B$909,$A64)*EXACT(Data!$C$2:$C$909,$B64)*Data!$D$2:$D$909)</f>
        <v>1</v>
      </c>
      <c r="J64" s="6" t="n">
        <f aca="false">SUM(C64:I64)</f>
        <v>80</v>
      </c>
      <c r="K64" s="7" t="n">
        <f aca="false">IF(C64=0,"",(I64-C64)/C64)</f>
        <v>-0.962962962962963</v>
      </c>
    </row>
    <row r="65" customFormat="false" ht="15" hidden="false" customHeight="false" outlineLevel="0" collapsed="false">
      <c r="A65" s="3" t="s">
        <v>65</v>
      </c>
      <c r="B65" s="3" t="s">
        <v>40</v>
      </c>
      <c r="C65" s="5" t="n">
        <f aca="false">SUMPRODUCT((Data!$A$2:$A$909=DATE(2026,7,20))*EXACT(Data!$B$2:$B$909,$A65)*EXACT(Data!$C$2:$C$909,$B65)*Data!$D$2:$D$909)</f>
        <v>31</v>
      </c>
      <c r="D65" s="5" t="n">
        <f aca="false">SUMPRODUCT((Data!$A$2:$A$909=DATE(2026,7,21))*EXACT(Data!$B$2:$B$909,$A65)*EXACT(Data!$C$2:$C$909,$B65)*Data!$D$2:$D$909)</f>
        <v>34</v>
      </c>
      <c r="E65" s="5" t="n">
        <f aca="false">SUMPRODUCT((Data!$A$2:$A$909=DATE(2026,7,22))*EXACT(Data!$B$2:$B$909,$A65)*EXACT(Data!$C$2:$C$909,$B65)*Data!$D$2:$D$909)</f>
        <v>29</v>
      </c>
      <c r="F65" s="5" t="n">
        <f aca="false">SUMPRODUCT((Data!$A$2:$A$909=DATE(2026,7,23))*EXACT(Data!$B$2:$B$909,$A65)*EXACT(Data!$C$2:$C$909,$B65)*Data!$D$2:$D$909)</f>
        <v>32</v>
      </c>
      <c r="G65" s="5" t="n">
        <f aca="false">SUMPRODUCT((Data!$A$2:$A$909=DATE(2026,7,24))*EXACT(Data!$B$2:$B$909,$A65)*EXACT(Data!$C$2:$C$909,$B65)*Data!$D$2:$D$909)</f>
        <v>34</v>
      </c>
      <c r="H65" s="5" t="n">
        <f aca="false">SUMPRODUCT((Data!$A$2:$A$909=DATE(2026,7,25))*EXACT(Data!$B$2:$B$909,$A65)*EXACT(Data!$C$2:$C$909,$B65)*Data!$D$2:$D$909)</f>
        <v>4</v>
      </c>
      <c r="I65" s="5" t="n">
        <f aca="false">SUMPRODUCT((Data!$A$2:$A$909=DATE(2026,7,26))*EXACT(Data!$B$2:$B$909,$A65)*EXACT(Data!$C$2:$C$909,$B65)*Data!$D$2:$D$909)</f>
        <v>1</v>
      </c>
      <c r="J65" s="6" t="n">
        <f aca="false">SUM(C65:I65)</f>
        <v>165</v>
      </c>
      <c r="K65" s="7" t="n">
        <f aca="false">IF(C65=0,"",(I65-C65)/C65)</f>
        <v>-0.967741935483871</v>
      </c>
    </row>
    <row r="66" customFormat="false" ht="15" hidden="false" customHeight="false" outlineLevel="0" collapsed="false">
      <c r="A66" s="3" t="s">
        <v>115</v>
      </c>
      <c r="B66" s="3" t="s">
        <v>40</v>
      </c>
      <c r="C66" s="5" t="n">
        <f aca="false">SUMPRODUCT((Data!$A$2:$A$909=DATE(2026,7,20))*EXACT(Data!$B$2:$B$909,$A66)*EXACT(Data!$C$2:$C$909,$B66)*Data!$D$2:$D$909)</f>
        <v>0</v>
      </c>
      <c r="D66" s="5" t="n">
        <f aca="false">SUMPRODUCT((Data!$A$2:$A$909=DATE(2026,7,21))*EXACT(Data!$B$2:$B$909,$A66)*EXACT(Data!$C$2:$C$909,$B66)*Data!$D$2:$D$909)</f>
        <v>0</v>
      </c>
      <c r="E66" s="5" t="n">
        <f aca="false">SUMPRODUCT((Data!$A$2:$A$909=DATE(2026,7,22))*EXACT(Data!$B$2:$B$909,$A66)*EXACT(Data!$C$2:$C$909,$B66)*Data!$D$2:$D$909)</f>
        <v>0</v>
      </c>
      <c r="F66" s="5" t="n">
        <f aca="false">SUMPRODUCT((Data!$A$2:$A$909=DATE(2026,7,23))*EXACT(Data!$B$2:$B$909,$A66)*EXACT(Data!$C$2:$C$909,$B66)*Data!$D$2:$D$909)</f>
        <v>0</v>
      </c>
      <c r="G66" s="5" t="n">
        <f aca="false">SUMPRODUCT((Data!$A$2:$A$909=DATE(2026,7,24))*EXACT(Data!$B$2:$B$909,$A66)*EXACT(Data!$C$2:$C$909,$B66)*Data!$D$2:$D$909)</f>
        <v>0</v>
      </c>
      <c r="H66" s="5" t="n">
        <f aca="false">SUMPRODUCT((Data!$A$2:$A$909=DATE(2026,7,25))*EXACT(Data!$B$2:$B$909,$A66)*EXACT(Data!$C$2:$C$909,$B66)*Data!$D$2:$D$909)</f>
        <v>0</v>
      </c>
      <c r="I66" s="5" t="n">
        <f aca="false">SUMPRODUCT((Data!$A$2:$A$909=DATE(2026,7,26))*EXACT(Data!$B$2:$B$909,$A66)*EXACT(Data!$C$2:$C$909,$B66)*Data!$D$2:$D$909)</f>
        <v>1</v>
      </c>
      <c r="J66" s="6" t="n">
        <f aca="false">SUM(C66:I66)</f>
        <v>1</v>
      </c>
      <c r="K66" s="7" t="str">
        <f aca="false">IF(C66=0,"",(I66-C66)/C66)</f>
        <v/>
      </c>
    </row>
    <row r="67" customFormat="false" ht="15" hidden="false" customHeight="false" outlineLevel="0" collapsed="false">
      <c r="A67" s="3" t="s">
        <v>66</v>
      </c>
      <c r="B67" s="3" t="s">
        <v>40</v>
      </c>
      <c r="C67" s="5" t="n">
        <f aca="false">SUMPRODUCT((Data!$A$2:$A$909=DATE(2026,7,20))*EXACT(Data!$B$2:$B$909,$A67)*EXACT(Data!$C$2:$C$909,$B67)*Data!$D$2:$D$909)</f>
        <v>2</v>
      </c>
      <c r="D67" s="5" t="n">
        <f aca="false">SUMPRODUCT((Data!$A$2:$A$909=DATE(2026,7,21))*EXACT(Data!$B$2:$B$909,$A67)*EXACT(Data!$C$2:$C$909,$B67)*Data!$D$2:$D$909)</f>
        <v>28</v>
      </c>
      <c r="E67" s="5" t="n">
        <f aca="false">SUMPRODUCT((Data!$A$2:$A$909=DATE(2026,7,22))*EXACT(Data!$B$2:$B$909,$A67)*EXACT(Data!$C$2:$C$909,$B67)*Data!$D$2:$D$909)</f>
        <v>14</v>
      </c>
      <c r="F67" s="5" t="n">
        <f aca="false">SUMPRODUCT((Data!$A$2:$A$909=DATE(2026,7,23))*EXACT(Data!$B$2:$B$909,$A67)*EXACT(Data!$C$2:$C$909,$B67)*Data!$D$2:$D$909)</f>
        <v>6</v>
      </c>
      <c r="G67" s="5" t="n">
        <f aca="false">SUMPRODUCT((Data!$A$2:$A$909=DATE(2026,7,24))*EXACT(Data!$B$2:$B$909,$A67)*EXACT(Data!$C$2:$C$909,$B67)*Data!$D$2:$D$909)</f>
        <v>12</v>
      </c>
      <c r="H67" s="5" t="n">
        <f aca="false">SUMPRODUCT((Data!$A$2:$A$909=DATE(2026,7,25))*EXACT(Data!$B$2:$B$909,$A67)*EXACT(Data!$C$2:$C$909,$B67)*Data!$D$2:$D$909)</f>
        <v>0</v>
      </c>
      <c r="I67" s="5" t="n">
        <f aca="false">SUMPRODUCT((Data!$A$2:$A$909=DATE(2026,7,26))*EXACT(Data!$B$2:$B$909,$A67)*EXACT(Data!$C$2:$C$909,$B67)*Data!$D$2:$D$909)</f>
        <v>0</v>
      </c>
      <c r="J67" s="6" t="n">
        <f aca="false">SUM(C67:I67)</f>
        <v>62</v>
      </c>
      <c r="K67" s="7" t="n">
        <f aca="false">IF(C67=0,"",(I67-C67)/C67)</f>
        <v>-1</v>
      </c>
    </row>
    <row r="68" customFormat="false" ht="15" hidden="false" customHeight="false" outlineLevel="0" collapsed="false">
      <c r="A68" s="3" t="s">
        <v>67</v>
      </c>
      <c r="B68" s="3" t="s">
        <v>32</v>
      </c>
      <c r="C68" s="5" t="n">
        <f aca="false">SUMPRODUCT((Data!$A$2:$A$909=DATE(2026,7,20))*EXACT(Data!$B$2:$B$909,$A68)*EXACT(Data!$C$2:$C$909,$B68)*Data!$D$2:$D$909)</f>
        <v>1731</v>
      </c>
      <c r="D68" s="5" t="n">
        <f aca="false">SUMPRODUCT((Data!$A$2:$A$909=DATE(2026,7,21))*EXACT(Data!$B$2:$B$909,$A68)*EXACT(Data!$C$2:$C$909,$B68)*Data!$D$2:$D$909)</f>
        <v>1742</v>
      </c>
      <c r="E68" s="5" t="n">
        <f aca="false">SUMPRODUCT((Data!$A$2:$A$909=DATE(2026,7,22))*EXACT(Data!$B$2:$B$909,$A68)*EXACT(Data!$C$2:$C$909,$B68)*Data!$D$2:$D$909)</f>
        <v>1569</v>
      </c>
      <c r="F68" s="5" t="n">
        <f aca="false">SUMPRODUCT((Data!$A$2:$A$909=DATE(2026,7,23))*EXACT(Data!$B$2:$B$909,$A68)*EXACT(Data!$C$2:$C$909,$B68)*Data!$D$2:$D$909)</f>
        <v>1568</v>
      </c>
      <c r="G68" s="5" t="n">
        <f aca="false">SUMPRODUCT((Data!$A$2:$A$909=DATE(2026,7,24))*EXACT(Data!$B$2:$B$909,$A68)*EXACT(Data!$C$2:$C$909,$B68)*Data!$D$2:$D$909)</f>
        <v>1585</v>
      </c>
      <c r="H68" s="5" t="n">
        <f aca="false">SUMPRODUCT((Data!$A$2:$A$909=DATE(2026,7,25))*EXACT(Data!$B$2:$B$909,$A68)*EXACT(Data!$C$2:$C$909,$B68)*Data!$D$2:$D$909)</f>
        <v>685</v>
      </c>
      <c r="I68" s="5" t="n">
        <f aca="false">SUMPRODUCT((Data!$A$2:$A$909=DATE(2026,7,26))*EXACT(Data!$B$2:$B$909,$A68)*EXACT(Data!$C$2:$C$909,$B68)*Data!$D$2:$D$909)</f>
        <v>459</v>
      </c>
      <c r="J68" s="6" t="n">
        <f aca="false">SUM(C68:I68)</f>
        <v>9339</v>
      </c>
      <c r="K68" s="7" t="n">
        <f aca="false">IF(C68=0,"",(I68-C68)/C68)</f>
        <v>-0.734835355285962</v>
      </c>
    </row>
    <row r="69" customFormat="false" ht="15" hidden="false" customHeight="false" outlineLevel="0" collapsed="false">
      <c r="A69" s="3" t="s">
        <v>67</v>
      </c>
      <c r="B69" s="3" t="s">
        <v>20</v>
      </c>
      <c r="C69" s="5" t="n">
        <f aca="false">SUMPRODUCT((Data!$A$2:$A$909=DATE(2026,7,20))*EXACT(Data!$B$2:$B$909,$A69)*EXACT(Data!$C$2:$C$909,$B69)*Data!$D$2:$D$909)</f>
        <v>4094</v>
      </c>
      <c r="D69" s="5" t="n">
        <f aca="false">SUMPRODUCT((Data!$A$2:$A$909=DATE(2026,7,21))*EXACT(Data!$B$2:$B$909,$A69)*EXACT(Data!$C$2:$C$909,$B69)*Data!$D$2:$D$909)</f>
        <v>3820</v>
      </c>
      <c r="E69" s="5" t="n">
        <f aca="false">SUMPRODUCT((Data!$A$2:$A$909=DATE(2026,7,22))*EXACT(Data!$B$2:$B$909,$A69)*EXACT(Data!$C$2:$C$909,$B69)*Data!$D$2:$D$909)</f>
        <v>3570</v>
      </c>
      <c r="F69" s="5" t="n">
        <f aca="false">SUMPRODUCT((Data!$A$2:$A$909=DATE(2026,7,23))*EXACT(Data!$B$2:$B$909,$A69)*EXACT(Data!$C$2:$C$909,$B69)*Data!$D$2:$D$909)</f>
        <v>3716</v>
      </c>
      <c r="G69" s="5" t="n">
        <f aca="false">SUMPRODUCT((Data!$A$2:$A$909=DATE(2026,7,24))*EXACT(Data!$B$2:$B$909,$A69)*EXACT(Data!$C$2:$C$909,$B69)*Data!$D$2:$D$909)</f>
        <v>3872</v>
      </c>
      <c r="H69" s="5" t="n">
        <f aca="false">SUMPRODUCT((Data!$A$2:$A$909=DATE(2026,7,25))*EXACT(Data!$B$2:$B$909,$A69)*EXACT(Data!$C$2:$C$909,$B69)*Data!$D$2:$D$909)</f>
        <v>1280</v>
      </c>
      <c r="I69" s="5" t="n">
        <f aca="false">SUMPRODUCT((Data!$A$2:$A$909=DATE(2026,7,26))*EXACT(Data!$B$2:$B$909,$A69)*EXACT(Data!$C$2:$C$909,$B69)*Data!$D$2:$D$909)</f>
        <v>1469</v>
      </c>
      <c r="J69" s="6" t="n">
        <f aca="false">SUM(C69:I69)</f>
        <v>21821</v>
      </c>
      <c r="K69" s="7" t="n">
        <f aca="false">IF(C69=0,"",(I69-C69)/C69)</f>
        <v>-0.641182217879824</v>
      </c>
    </row>
    <row r="70" customFormat="false" ht="15" hidden="false" customHeight="false" outlineLevel="0" collapsed="false">
      <c r="A70" s="3" t="s">
        <v>67</v>
      </c>
      <c r="B70" s="3" t="s">
        <v>33</v>
      </c>
      <c r="C70" s="5" t="n">
        <f aca="false">SUMPRODUCT((Data!$A$2:$A$909=DATE(2026,7,20))*EXACT(Data!$B$2:$B$909,$A70)*EXACT(Data!$C$2:$C$909,$B70)*Data!$D$2:$D$909)</f>
        <v>21199</v>
      </c>
      <c r="D70" s="5" t="n">
        <f aca="false">SUMPRODUCT((Data!$A$2:$A$909=DATE(2026,7,21))*EXACT(Data!$B$2:$B$909,$A70)*EXACT(Data!$C$2:$C$909,$B70)*Data!$D$2:$D$909)</f>
        <v>19930</v>
      </c>
      <c r="E70" s="5" t="n">
        <f aca="false">SUMPRODUCT((Data!$A$2:$A$909=DATE(2026,7,22))*EXACT(Data!$B$2:$B$909,$A70)*EXACT(Data!$C$2:$C$909,$B70)*Data!$D$2:$D$909)</f>
        <v>18980</v>
      </c>
      <c r="F70" s="5" t="n">
        <f aca="false">SUMPRODUCT((Data!$A$2:$A$909=DATE(2026,7,23))*EXACT(Data!$B$2:$B$909,$A70)*EXACT(Data!$C$2:$C$909,$B70)*Data!$D$2:$D$909)</f>
        <v>20989</v>
      </c>
      <c r="G70" s="5" t="n">
        <f aca="false">SUMPRODUCT((Data!$A$2:$A$909=DATE(2026,7,24))*EXACT(Data!$B$2:$B$909,$A70)*EXACT(Data!$C$2:$C$909,$B70)*Data!$D$2:$D$909)</f>
        <v>21795</v>
      </c>
      <c r="H70" s="5" t="n">
        <f aca="false">SUMPRODUCT((Data!$A$2:$A$909=DATE(2026,7,25))*EXACT(Data!$B$2:$B$909,$A70)*EXACT(Data!$C$2:$C$909,$B70)*Data!$D$2:$D$909)</f>
        <v>7725</v>
      </c>
      <c r="I70" s="5" t="n">
        <f aca="false">SUMPRODUCT((Data!$A$2:$A$909=DATE(2026,7,26))*EXACT(Data!$B$2:$B$909,$A70)*EXACT(Data!$C$2:$C$909,$B70)*Data!$D$2:$D$909)</f>
        <v>6529</v>
      </c>
      <c r="J70" s="6" t="n">
        <f aca="false">SUM(C70:I70)</f>
        <v>117147</v>
      </c>
      <c r="K70" s="7" t="n">
        <f aca="false">IF(C70=0,"",(I70-C70)/C70)</f>
        <v>-0.692013774234634</v>
      </c>
    </row>
    <row r="71" customFormat="false" ht="15" hidden="false" customHeight="false" outlineLevel="0" collapsed="false">
      <c r="A71" s="3" t="s">
        <v>67</v>
      </c>
      <c r="B71" s="3" t="s">
        <v>34</v>
      </c>
      <c r="C71" s="5" t="n">
        <f aca="false">SUMPRODUCT((Data!$A$2:$A$909=DATE(2026,7,20))*EXACT(Data!$B$2:$B$909,$A71)*EXACT(Data!$C$2:$C$909,$B71)*Data!$D$2:$D$909)</f>
        <v>19468</v>
      </c>
      <c r="D71" s="5" t="n">
        <f aca="false">SUMPRODUCT((Data!$A$2:$A$909=DATE(2026,7,21))*EXACT(Data!$B$2:$B$909,$A71)*EXACT(Data!$C$2:$C$909,$B71)*Data!$D$2:$D$909)</f>
        <v>18188</v>
      </c>
      <c r="E71" s="5" t="n">
        <f aca="false">SUMPRODUCT((Data!$A$2:$A$909=DATE(2026,7,22))*EXACT(Data!$B$2:$B$909,$A71)*EXACT(Data!$C$2:$C$909,$B71)*Data!$D$2:$D$909)</f>
        <v>17411</v>
      </c>
      <c r="F71" s="5" t="n">
        <f aca="false">SUMPRODUCT((Data!$A$2:$A$909=DATE(2026,7,23))*EXACT(Data!$B$2:$B$909,$A71)*EXACT(Data!$C$2:$C$909,$B71)*Data!$D$2:$D$909)</f>
        <v>19421</v>
      </c>
      <c r="G71" s="5" t="n">
        <f aca="false">SUMPRODUCT((Data!$A$2:$A$909=DATE(2026,7,24))*EXACT(Data!$B$2:$B$909,$A71)*EXACT(Data!$C$2:$C$909,$B71)*Data!$D$2:$D$909)</f>
        <v>20210</v>
      </c>
      <c r="H71" s="5" t="n">
        <f aca="false">SUMPRODUCT((Data!$A$2:$A$909=DATE(2026,7,25))*EXACT(Data!$B$2:$B$909,$A71)*EXACT(Data!$C$2:$C$909,$B71)*Data!$D$2:$D$909)</f>
        <v>7040</v>
      </c>
      <c r="I71" s="5" t="n">
        <f aca="false">SUMPRODUCT((Data!$A$2:$A$909=DATE(2026,7,26))*EXACT(Data!$B$2:$B$909,$A71)*EXACT(Data!$C$2:$C$909,$B71)*Data!$D$2:$D$909)</f>
        <v>6070</v>
      </c>
      <c r="J71" s="6" t="n">
        <f aca="false">SUM(C71:I71)</f>
        <v>107808</v>
      </c>
      <c r="K71" s="7" t="n">
        <f aca="false">IF(C71=0,"",(I71-C71)/C71)</f>
        <v>-0.6882062872406</v>
      </c>
    </row>
    <row r="72" customFormat="false" ht="15" hidden="false" customHeight="false" outlineLevel="0" collapsed="false">
      <c r="A72" s="3" t="s">
        <v>67</v>
      </c>
      <c r="B72" s="3" t="s">
        <v>22</v>
      </c>
      <c r="C72" s="5" t="n">
        <f aca="false">SUMPRODUCT((Data!$A$2:$A$909=DATE(2026,7,20))*EXACT(Data!$B$2:$B$909,$A72)*EXACT(Data!$C$2:$C$909,$B72)*Data!$D$2:$D$909)</f>
        <v>5</v>
      </c>
      <c r="D72" s="5" t="n">
        <f aca="false">SUMPRODUCT((Data!$A$2:$A$909=DATE(2026,7,21))*EXACT(Data!$B$2:$B$909,$A72)*EXACT(Data!$C$2:$C$909,$B72)*Data!$D$2:$D$909)</f>
        <v>3</v>
      </c>
      <c r="E72" s="5" t="n">
        <f aca="false">SUMPRODUCT((Data!$A$2:$A$909=DATE(2026,7,22))*EXACT(Data!$B$2:$B$909,$A72)*EXACT(Data!$C$2:$C$909,$B72)*Data!$D$2:$D$909)</f>
        <v>3</v>
      </c>
      <c r="F72" s="5" t="n">
        <f aca="false">SUMPRODUCT((Data!$A$2:$A$909=DATE(2026,7,23))*EXACT(Data!$B$2:$B$909,$A72)*EXACT(Data!$C$2:$C$909,$B72)*Data!$D$2:$D$909)</f>
        <v>5</v>
      </c>
      <c r="G72" s="5" t="n">
        <f aca="false">SUMPRODUCT((Data!$A$2:$A$909=DATE(2026,7,24))*EXACT(Data!$B$2:$B$909,$A72)*EXACT(Data!$C$2:$C$909,$B72)*Data!$D$2:$D$909)</f>
        <v>3</v>
      </c>
      <c r="H72" s="5" t="n">
        <f aca="false">SUMPRODUCT((Data!$A$2:$A$909=DATE(2026,7,25))*EXACT(Data!$B$2:$B$909,$A72)*EXACT(Data!$C$2:$C$909,$B72)*Data!$D$2:$D$909)</f>
        <v>0</v>
      </c>
      <c r="I72" s="5" t="n">
        <f aca="false">SUMPRODUCT((Data!$A$2:$A$909=DATE(2026,7,26))*EXACT(Data!$B$2:$B$909,$A72)*EXACT(Data!$C$2:$C$909,$B72)*Data!$D$2:$D$909)</f>
        <v>2</v>
      </c>
      <c r="J72" s="6" t="n">
        <f aca="false">SUM(C72:I72)</f>
        <v>21</v>
      </c>
      <c r="K72" s="7" t="n">
        <f aca="false">IF(C72=0,"",(I72-C72)/C72)</f>
        <v>-0.6</v>
      </c>
    </row>
    <row r="73" customFormat="false" ht="15" hidden="false" customHeight="false" outlineLevel="0" collapsed="false">
      <c r="A73" s="3" t="s">
        <v>68</v>
      </c>
      <c r="B73" s="3" t="s">
        <v>11</v>
      </c>
      <c r="C73" s="5" t="n">
        <f aca="false">SUMPRODUCT((Data!$A$2:$A$909=DATE(2026,7,20))*EXACT(Data!$B$2:$B$909,$A73)*EXACT(Data!$C$2:$C$909,$B73)*Data!$D$2:$D$909)</f>
        <v>357</v>
      </c>
      <c r="D73" s="5" t="n">
        <f aca="false">SUMPRODUCT((Data!$A$2:$A$909=DATE(2026,7,21))*EXACT(Data!$B$2:$B$909,$A73)*EXACT(Data!$C$2:$C$909,$B73)*Data!$D$2:$D$909)</f>
        <v>348</v>
      </c>
      <c r="E73" s="5" t="n">
        <f aca="false">SUMPRODUCT((Data!$A$2:$A$909=DATE(2026,7,22))*EXACT(Data!$B$2:$B$909,$A73)*EXACT(Data!$C$2:$C$909,$B73)*Data!$D$2:$D$909)</f>
        <v>432</v>
      </c>
      <c r="F73" s="5" t="n">
        <f aca="false">SUMPRODUCT((Data!$A$2:$A$909=DATE(2026,7,23))*EXACT(Data!$B$2:$B$909,$A73)*EXACT(Data!$C$2:$C$909,$B73)*Data!$D$2:$D$909)</f>
        <v>466</v>
      </c>
      <c r="G73" s="5" t="n">
        <f aca="false">SUMPRODUCT((Data!$A$2:$A$909=DATE(2026,7,24))*EXACT(Data!$B$2:$B$909,$A73)*EXACT(Data!$C$2:$C$909,$B73)*Data!$D$2:$D$909)</f>
        <v>487</v>
      </c>
      <c r="H73" s="5" t="n">
        <f aca="false">SUMPRODUCT((Data!$A$2:$A$909=DATE(2026,7,25))*EXACT(Data!$B$2:$B$909,$A73)*EXACT(Data!$C$2:$C$909,$B73)*Data!$D$2:$D$909)</f>
        <v>61</v>
      </c>
      <c r="I73" s="5" t="n">
        <f aca="false">SUMPRODUCT((Data!$A$2:$A$909=DATE(2026,7,26))*EXACT(Data!$B$2:$B$909,$A73)*EXACT(Data!$C$2:$C$909,$B73)*Data!$D$2:$D$909)</f>
        <v>44</v>
      </c>
      <c r="J73" s="6" t="n">
        <f aca="false">SUM(C73:I73)</f>
        <v>2195</v>
      </c>
      <c r="K73" s="7" t="n">
        <f aca="false">IF(C73=0,"",(I73-C73)/C73)</f>
        <v>-0.876750700280112</v>
      </c>
    </row>
    <row r="74" customFormat="false" ht="15" hidden="false" customHeight="false" outlineLevel="0" collapsed="false">
      <c r="A74" s="3" t="s">
        <v>69</v>
      </c>
      <c r="B74" s="3" t="s">
        <v>70</v>
      </c>
      <c r="C74" s="5" t="n">
        <f aca="false">SUMPRODUCT((Data!$A$2:$A$909=DATE(2026,7,20))*EXACT(Data!$B$2:$B$909,$A74)*EXACT(Data!$C$2:$C$909,$B74)*Data!$D$2:$D$909)</f>
        <v>3</v>
      </c>
      <c r="D74" s="5" t="n">
        <f aca="false">SUMPRODUCT((Data!$A$2:$A$909=DATE(2026,7,21))*EXACT(Data!$B$2:$B$909,$A74)*EXACT(Data!$C$2:$C$909,$B74)*Data!$D$2:$D$909)</f>
        <v>8</v>
      </c>
      <c r="E74" s="5" t="n">
        <f aca="false">SUMPRODUCT((Data!$A$2:$A$909=DATE(2026,7,22))*EXACT(Data!$B$2:$B$909,$A74)*EXACT(Data!$C$2:$C$909,$B74)*Data!$D$2:$D$909)</f>
        <v>3</v>
      </c>
      <c r="F74" s="5" t="n">
        <f aca="false">SUMPRODUCT((Data!$A$2:$A$909=DATE(2026,7,23))*EXACT(Data!$B$2:$B$909,$A74)*EXACT(Data!$C$2:$C$909,$B74)*Data!$D$2:$D$909)</f>
        <v>0</v>
      </c>
      <c r="G74" s="5" t="n">
        <f aca="false">SUMPRODUCT((Data!$A$2:$A$909=DATE(2026,7,24))*EXACT(Data!$B$2:$B$909,$A74)*EXACT(Data!$C$2:$C$909,$B74)*Data!$D$2:$D$909)</f>
        <v>4</v>
      </c>
      <c r="H74" s="5" t="n">
        <f aca="false">SUMPRODUCT((Data!$A$2:$A$909=DATE(2026,7,25))*EXACT(Data!$B$2:$B$909,$A74)*EXACT(Data!$C$2:$C$909,$B74)*Data!$D$2:$D$909)</f>
        <v>0</v>
      </c>
      <c r="I74" s="5" t="n">
        <f aca="false">SUMPRODUCT((Data!$A$2:$A$909=DATE(2026,7,26))*EXACT(Data!$B$2:$B$909,$A74)*EXACT(Data!$C$2:$C$909,$B74)*Data!$D$2:$D$909)</f>
        <v>0</v>
      </c>
      <c r="J74" s="6" t="n">
        <f aca="false">SUM(C74:I74)</f>
        <v>18</v>
      </c>
      <c r="K74" s="7" t="n">
        <f aca="false">IF(C74=0,"",(I74-C74)/C74)</f>
        <v>-1</v>
      </c>
    </row>
    <row r="75" customFormat="false" ht="15" hidden="false" customHeight="false" outlineLevel="0" collapsed="false">
      <c r="A75" s="3" t="s">
        <v>69</v>
      </c>
      <c r="B75" s="3" t="s">
        <v>11</v>
      </c>
      <c r="C75" s="5" t="n">
        <f aca="false">SUMPRODUCT((Data!$A$2:$A$909=DATE(2026,7,20))*EXACT(Data!$B$2:$B$909,$A75)*EXACT(Data!$C$2:$C$909,$B75)*Data!$D$2:$D$909)</f>
        <v>57350</v>
      </c>
      <c r="D75" s="5" t="n">
        <f aca="false">SUMPRODUCT((Data!$A$2:$A$909=DATE(2026,7,21))*EXACT(Data!$B$2:$B$909,$A75)*EXACT(Data!$C$2:$C$909,$B75)*Data!$D$2:$D$909)</f>
        <v>52654</v>
      </c>
      <c r="E75" s="5" t="n">
        <f aca="false">SUMPRODUCT((Data!$A$2:$A$909=DATE(2026,7,22))*EXACT(Data!$B$2:$B$909,$A75)*EXACT(Data!$C$2:$C$909,$B75)*Data!$D$2:$D$909)</f>
        <v>49945</v>
      </c>
      <c r="F75" s="5" t="n">
        <f aca="false">SUMPRODUCT((Data!$A$2:$A$909=DATE(2026,7,23))*EXACT(Data!$B$2:$B$909,$A75)*EXACT(Data!$C$2:$C$909,$B75)*Data!$D$2:$D$909)</f>
        <v>54935</v>
      </c>
      <c r="G75" s="5" t="n">
        <f aca="false">SUMPRODUCT((Data!$A$2:$A$909=DATE(2026,7,24))*EXACT(Data!$B$2:$B$909,$A75)*EXACT(Data!$C$2:$C$909,$B75)*Data!$D$2:$D$909)</f>
        <v>57633</v>
      </c>
      <c r="H75" s="5" t="n">
        <f aca="false">SUMPRODUCT((Data!$A$2:$A$909=DATE(2026,7,25))*EXACT(Data!$B$2:$B$909,$A75)*EXACT(Data!$C$2:$C$909,$B75)*Data!$D$2:$D$909)</f>
        <v>19108</v>
      </c>
      <c r="I75" s="5" t="n">
        <f aca="false">SUMPRODUCT((Data!$A$2:$A$909=DATE(2026,7,26))*EXACT(Data!$B$2:$B$909,$A75)*EXACT(Data!$C$2:$C$909,$B75)*Data!$D$2:$D$909)</f>
        <v>17850</v>
      </c>
      <c r="J75" s="6" t="n">
        <f aca="false">SUM(C75:I75)</f>
        <v>309475</v>
      </c>
      <c r="K75" s="7" t="n">
        <f aca="false">IF(C75=0,"",(I75-C75)/C75)</f>
        <v>-0.688753269398431</v>
      </c>
    </row>
    <row r="76" customFormat="false" ht="15" hidden="false" customHeight="false" outlineLevel="0" collapsed="false">
      <c r="A76" s="3" t="s">
        <v>71</v>
      </c>
      <c r="B76" s="3" t="s">
        <v>14</v>
      </c>
      <c r="C76" s="5" t="n">
        <f aca="false">SUMPRODUCT((Data!$A$2:$A$909=DATE(2026,7,20))*EXACT(Data!$B$2:$B$909,$A76)*EXACT(Data!$C$2:$C$909,$B76)*Data!$D$2:$D$909)</f>
        <v>24040</v>
      </c>
      <c r="D76" s="5" t="n">
        <f aca="false">SUMPRODUCT((Data!$A$2:$A$909=DATE(2026,7,21))*EXACT(Data!$B$2:$B$909,$A76)*EXACT(Data!$C$2:$C$909,$B76)*Data!$D$2:$D$909)</f>
        <v>21778</v>
      </c>
      <c r="E76" s="5" t="n">
        <f aca="false">SUMPRODUCT((Data!$A$2:$A$909=DATE(2026,7,22))*EXACT(Data!$B$2:$B$909,$A76)*EXACT(Data!$C$2:$C$909,$B76)*Data!$D$2:$D$909)</f>
        <v>20408</v>
      </c>
      <c r="F76" s="5" t="n">
        <f aca="false">SUMPRODUCT((Data!$A$2:$A$909=DATE(2026,7,23))*EXACT(Data!$B$2:$B$909,$A76)*EXACT(Data!$C$2:$C$909,$B76)*Data!$D$2:$D$909)</f>
        <v>22884</v>
      </c>
      <c r="G76" s="5" t="n">
        <f aca="false">SUMPRODUCT((Data!$A$2:$A$909=DATE(2026,7,24))*EXACT(Data!$B$2:$B$909,$A76)*EXACT(Data!$C$2:$C$909,$B76)*Data!$D$2:$D$909)</f>
        <v>23995</v>
      </c>
      <c r="H76" s="5" t="n">
        <f aca="false">SUMPRODUCT((Data!$A$2:$A$909=DATE(2026,7,25))*EXACT(Data!$B$2:$B$909,$A76)*EXACT(Data!$C$2:$C$909,$B76)*Data!$D$2:$D$909)</f>
        <v>8617</v>
      </c>
      <c r="I76" s="5" t="n">
        <f aca="false">SUMPRODUCT((Data!$A$2:$A$909=DATE(2026,7,26))*EXACT(Data!$B$2:$B$909,$A76)*EXACT(Data!$C$2:$C$909,$B76)*Data!$D$2:$D$909)</f>
        <v>7674</v>
      </c>
      <c r="J76" s="6" t="n">
        <f aca="false">SUM(C76:I76)</f>
        <v>129396</v>
      </c>
      <c r="K76" s="7" t="n">
        <f aca="false">IF(C76=0,"",(I76-C76)/C76)</f>
        <v>-0.680782029950083</v>
      </c>
    </row>
    <row r="77" customFormat="false" ht="15" hidden="false" customHeight="false" outlineLevel="0" collapsed="false">
      <c r="A77" s="3" t="s">
        <v>71</v>
      </c>
      <c r="B77" s="3" t="s">
        <v>37</v>
      </c>
      <c r="C77" s="5" t="n">
        <f aca="false">SUMPRODUCT((Data!$A$2:$A$909=DATE(2026,7,20))*EXACT(Data!$B$2:$B$909,$A77)*EXACT(Data!$C$2:$C$909,$B77)*Data!$D$2:$D$909)</f>
        <v>1</v>
      </c>
      <c r="D77" s="5" t="n">
        <f aca="false">SUMPRODUCT((Data!$A$2:$A$909=DATE(2026,7,21))*EXACT(Data!$B$2:$B$909,$A77)*EXACT(Data!$C$2:$C$909,$B77)*Data!$D$2:$D$909)</f>
        <v>1</v>
      </c>
      <c r="E77" s="5" t="n">
        <f aca="false">SUMPRODUCT((Data!$A$2:$A$909=DATE(2026,7,22))*EXACT(Data!$B$2:$B$909,$A77)*EXACT(Data!$C$2:$C$909,$B77)*Data!$D$2:$D$909)</f>
        <v>1</v>
      </c>
      <c r="F77" s="5" t="n">
        <f aca="false">SUMPRODUCT((Data!$A$2:$A$909=DATE(2026,7,23))*EXACT(Data!$B$2:$B$909,$A77)*EXACT(Data!$C$2:$C$909,$B77)*Data!$D$2:$D$909)</f>
        <v>1</v>
      </c>
      <c r="G77" s="5" t="n">
        <f aca="false">SUMPRODUCT((Data!$A$2:$A$909=DATE(2026,7,24))*EXACT(Data!$B$2:$B$909,$A77)*EXACT(Data!$C$2:$C$909,$B77)*Data!$D$2:$D$909)</f>
        <v>1</v>
      </c>
      <c r="H77" s="5" t="n">
        <f aca="false">SUMPRODUCT((Data!$A$2:$A$909=DATE(2026,7,25))*EXACT(Data!$B$2:$B$909,$A77)*EXACT(Data!$C$2:$C$909,$B77)*Data!$D$2:$D$909)</f>
        <v>1</v>
      </c>
      <c r="I77" s="5" t="n">
        <f aca="false">SUMPRODUCT((Data!$A$2:$A$909=DATE(2026,7,26))*EXACT(Data!$B$2:$B$909,$A77)*EXACT(Data!$C$2:$C$909,$B77)*Data!$D$2:$D$909)</f>
        <v>1</v>
      </c>
      <c r="J77" s="6" t="n">
        <f aca="false">SUM(C77:I77)</f>
        <v>7</v>
      </c>
      <c r="K77" s="7" t="n">
        <f aca="false">IF(C77=0,"",(I77-C77)/C77)</f>
        <v>0</v>
      </c>
    </row>
    <row r="78" customFormat="false" ht="15" hidden="false" customHeight="false" outlineLevel="0" collapsed="false">
      <c r="A78" s="3" t="s">
        <v>71</v>
      </c>
      <c r="B78" s="3" t="s">
        <v>38</v>
      </c>
      <c r="C78" s="5" t="n">
        <f aca="false">SUMPRODUCT((Data!$A$2:$A$909=DATE(2026,7,20))*EXACT(Data!$B$2:$B$909,$A78)*EXACT(Data!$C$2:$C$909,$B78)*Data!$D$2:$D$909)</f>
        <v>23894</v>
      </c>
      <c r="D78" s="5" t="n">
        <f aca="false">SUMPRODUCT((Data!$A$2:$A$909=DATE(2026,7,21))*EXACT(Data!$B$2:$B$909,$A78)*EXACT(Data!$C$2:$C$909,$B78)*Data!$D$2:$D$909)</f>
        <v>21681</v>
      </c>
      <c r="E78" s="5" t="n">
        <f aca="false">SUMPRODUCT((Data!$A$2:$A$909=DATE(2026,7,22))*EXACT(Data!$B$2:$B$909,$A78)*EXACT(Data!$C$2:$C$909,$B78)*Data!$D$2:$D$909)</f>
        <v>20287</v>
      </c>
      <c r="F78" s="5" t="n">
        <f aca="false">SUMPRODUCT((Data!$A$2:$A$909=DATE(2026,7,23))*EXACT(Data!$B$2:$B$909,$A78)*EXACT(Data!$C$2:$C$909,$B78)*Data!$D$2:$D$909)</f>
        <v>22796</v>
      </c>
      <c r="G78" s="5" t="n">
        <f aca="false">SUMPRODUCT((Data!$A$2:$A$909=DATE(2026,7,24))*EXACT(Data!$B$2:$B$909,$A78)*EXACT(Data!$C$2:$C$909,$B78)*Data!$D$2:$D$909)</f>
        <v>23800</v>
      </c>
      <c r="H78" s="5" t="n">
        <f aca="false">SUMPRODUCT((Data!$A$2:$A$909=DATE(2026,7,25))*EXACT(Data!$B$2:$B$909,$A78)*EXACT(Data!$C$2:$C$909,$B78)*Data!$D$2:$D$909)</f>
        <v>8600</v>
      </c>
      <c r="I78" s="5" t="n">
        <f aca="false">SUMPRODUCT((Data!$A$2:$A$909=DATE(2026,7,26))*EXACT(Data!$B$2:$B$909,$A78)*EXACT(Data!$C$2:$C$909,$B78)*Data!$D$2:$D$909)</f>
        <v>7642</v>
      </c>
      <c r="J78" s="6" t="n">
        <f aca="false">SUM(C78:I78)</f>
        <v>128700</v>
      </c>
      <c r="K78" s="7" t="n">
        <f aca="false">IF(C78=0,"",(I78-C78)/C78)</f>
        <v>-0.680170754164225</v>
      </c>
    </row>
    <row r="79" customFormat="false" ht="15" hidden="false" customHeight="false" outlineLevel="0" collapsed="false">
      <c r="A79" s="3" t="s">
        <v>71</v>
      </c>
      <c r="B79" s="3" t="s">
        <v>39</v>
      </c>
      <c r="C79" s="5" t="n">
        <f aca="false">SUMPRODUCT((Data!$A$2:$A$909=DATE(2026,7,20))*EXACT(Data!$B$2:$B$909,$A79)*EXACT(Data!$C$2:$C$909,$B79)*Data!$D$2:$D$909)</f>
        <v>5166</v>
      </c>
      <c r="D79" s="5" t="n">
        <f aca="false">SUMPRODUCT((Data!$A$2:$A$909=DATE(2026,7,21))*EXACT(Data!$B$2:$B$909,$A79)*EXACT(Data!$C$2:$C$909,$B79)*Data!$D$2:$D$909)</f>
        <v>5096</v>
      </c>
      <c r="E79" s="5" t="n">
        <f aca="false">SUMPRODUCT((Data!$A$2:$A$909=DATE(2026,7,22))*EXACT(Data!$B$2:$B$909,$A79)*EXACT(Data!$C$2:$C$909,$B79)*Data!$D$2:$D$909)</f>
        <v>4967</v>
      </c>
      <c r="F79" s="5" t="n">
        <f aca="false">SUMPRODUCT((Data!$A$2:$A$909=DATE(2026,7,23))*EXACT(Data!$B$2:$B$909,$A79)*EXACT(Data!$C$2:$C$909,$B79)*Data!$D$2:$D$909)</f>
        <v>4918</v>
      </c>
      <c r="G79" s="5" t="n">
        <f aca="false">SUMPRODUCT((Data!$A$2:$A$909=DATE(2026,7,24))*EXACT(Data!$B$2:$B$909,$A79)*EXACT(Data!$C$2:$C$909,$B79)*Data!$D$2:$D$909)</f>
        <v>5009</v>
      </c>
      <c r="H79" s="5" t="n">
        <f aca="false">SUMPRODUCT((Data!$A$2:$A$909=DATE(2026,7,25))*EXACT(Data!$B$2:$B$909,$A79)*EXACT(Data!$C$2:$C$909,$B79)*Data!$D$2:$D$909)</f>
        <v>2023</v>
      </c>
      <c r="I79" s="5" t="n">
        <f aca="false">SUMPRODUCT((Data!$A$2:$A$909=DATE(2026,7,26))*EXACT(Data!$B$2:$B$909,$A79)*EXACT(Data!$C$2:$C$909,$B79)*Data!$D$2:$D$909)</f>
        <v>1638</v>
      </c>
      <c r="J79" s="6" t="n">
        <f aca="false">SUM(C79:I79)</f>
        <v>28817</v>
      </c>
      <c r="K79" s="7" t="n">
        <f aca="false">IF(C79=0,"",(I79-C79)/C79)</f>
        <v>-0.682926829268293</v>
      </c>
    </row>
    <row r="80" customFormat="false" ht="15" hidden="false" customHeight="false" outlineLevel="0" collapsed="false">
      <c r="A80" s="3" t="s">
        <v>71</v>
      </c>
      <c r="B80" s="3" t="s">
        <v>42</v>
      </c>
      <c r="C80" s="5" t="n">
        <f aca="false">SUMPRODUCT((Data!$A$2:$A$909=DATE(2026,7,20))*EXACT(Data!$B$2:$B$909,$A80)*EXACT(Data!$C$2:$C$909,$B80)*Data!$D$2:$D$909)</f>
        <v>7</v>
      </c>
      <c r="D80" s="5" t="n">
        <f aca="false">SUMPRODUCT((Data!$A$2:$A$909=DATE(2026,7,21))*EXACT(Data!$B$2:$B$909,$A80)*EXACT(Data!$C$2:$C$909,$B80)*Data!$D$2:$D$909)</f>
        <v>3</v>
      </c>
      <c r="E80" s="5" t="n">
        <f aca="false">SUMPRODUCT((Data!$A$2:$A$909=DATE(2026,7,22))*EXACT(Data!$B$2:$B$909,$A80)*EXACT(Data!$C$2:$C$909,$B80)*Data!$D$2:$D$909)</f>
        <v>6</v>
      </c>
      <c r="F80" s="5" t="n">
        <f aca="false">SUMPRODUCT((Data!$A$2:$A$909=DATE(2026,7,23))*EXACT(Data!$B$2:$B$909,$A80)*EXACT(Data!$C$2:$C$909,$B80)*Data!$D$2:$D$909)</f>
        <v>7</v>
      </c>
      <c r="G80" s="5" t="n">
        <f aca="false">SUMPRODUCT((Data!$A$2:$A$909=DATE(2026,7,24))*EXACT(Data!$B$2:$B$909,$A80)*EXACT(Data!$C$2:$C$909,$B80)*Data!$D$2:$D$909)</f>
        <v>4</v>
      </c>
      <c r="H80" s="5" t="n">
        <f aca="false">SUMPRODUCT((Data!$A$2:$A$909=DATE(2026,7,25))*EXACT(Data!$B$2:$B$909,$A80)*EXACT(Data!$C$2:$C$909,$B80)*Data!$D$2:$D$909)</f>
        <v>0</v>
      </c>
      <c r="I80" s="5" t="n">
        <f aca="false">SUMPRODUCT((Data!$A$2:$A$909=DATE(2026,7,26))*EXACT(Data!$B$2:$B$909,$A80)*EXACT(Data!$C$2:$C$909,$B80)*Data!$D$2:$D$909)</f>
        <v>1</v>
      </c>
      <c r="J80" s="6" t="n">
        <f aca="false">SUM(C80:I80)</f>
        <v>28</v>
      </c>
      <c r="K80" s="7" t="n">
        <f aca="false">IF(C80=0,"",(I80-C80)/C80)</f>
        <v>-0.857142857142857</v>
      </c>
    </row>
    <row r="81" customFormat="false" ht="15" hidden="false" customHeight="false" outlineLevel="0" collapsed="false">
      <c r="A81" s="3" t="s">
        <v>72</v>
      </c>
      <c r="B81" s="3" t="s">
        <v>40</v>
      </c>
      <c r="C81" s="5" t="n">
        <f aca="false">SUMPRODUCT((Data!$A$2:$A$909=DATE(2026,7,20))*EXACT(Data!$B$2:$B$909,$A81)*EXACT(Data!$C$2:$C$909,$B81)*Data!$D$2:$D$909)</f>
        <v>722</v>
      </c>
      <c r="D81" s="5" t="n">
        <f aca="false">SUMPRODUCT((Data!$A$2:$A$909=DATE(2026,7,21))*EXACT(Data!$B$2:$B$909,$A81)*EXACT(Data!$C$2:$C$909,$B81)*Data!$D$2:$D$909)</f>
        <v>1053</v>
      </c>
      <c r="E81" s="5" t="n">
        <f aca="false">SUMPRODUCT((Data!$A$2:$A$909=DATE(2026,7,22))*EXACT(Data!$B$2:$B$909,$A81)*EXACT(Data!$C$2:$C$909,$B81)*Data!$D$2:$D$909)</f>
        <v>854</v>
      </c>
      <c r="F81" s="5" t="n">
        <f aca="false">SUMPRODUCT((Data!$A$2:$A$909=DATE(2026,7,23))*EXACT(Data!$B$2:$B$909,$A81)*EXACT(Data!$C$2:$C$909,$B81)*Data!$D$2:$D$909)</f>
        <v>800</v>
      </c>
      <c r="G81" s="5" t="n">
        <f aca="false">SUMPRODUCT((Data!$A$2:$A$909=DATE(2026,7,24))*EXACT(Data!$B$2:$B$909,$A81)*EXACT(Data!$C$2:$C$909,$B81)*Data!$D$2:$D$909)</f>
        <v>946</v>
      </c>
      <c r="H81" s="5" t="n">
        <f aca="false">SUMPRODUCT((Data!$A$2:$A$909=DATE(2026,7,25))*EXACT(Data!$B$2:$B$909,$A81)*EXACT(Data!$C$2:$C$909,$B81)*Data!$D$2:$D$909)</f>
        <v>327</v>
      </c>
      <c r="I81" s="5" t="n">
        <f aca="false">SUMPRODUCT((Data!$A$2:$A$909=DATE(2026,7,26))*EXACT(Data!$B$2:$B$909,$A81)*EXACT(Data!$C$2:$C$909,$B81)*Data!$D$2:$D$909)</f>
        <v>136</v>
      </c>
      <c r="J81" s="6" t="n">
        <f aca="false">SUM(C81:I81)</f>
        <v>4838</v>
      </c>
      <c r="K81" s="7" t="n">
        <f aca="false">IF(C81=0,"",(I81-C81)/C81)</f>
        <v>-0.811634349030471</v>
      </c>
    </row>
    <row r="82" customFormat="false" ht="15" hidden="false" customHeight="false" outlineLevel="0" collapsed="false">
      <c r="A82" s="3" t="s">
        <v>73</v>
      </c>
      <c r="B82" s="3" t="s">
        <v>40</v>
      </c>
      <c r="C82" s="5" t="n">
        <f aca="false">SUMPRODUCT((Data!$A$2:$A$909=DATE(2026,7,20))*EXACT(Data!$B$2:$B$909,$A82)*EXACT(Data!$C$2:$C$909,$B82)*Data!$D$2:$D$909)</f>
        <v>44</v>
      </c>
      <c r="D82" s="5" t="n">
        <f aca="false">SUMPRODUCT((Data!$A$2:$A$909=DATE(2026,7,21))*EXACT(Data!$B$2:$B$909,$A82)*EXACT(Data!$C$2:$C$909,$B82)*Data!$D$2:$D$909)</f>
        <v>74</v>
      </c>
      <c r="E82" s="5" t="n">
        <f aca="false">SUMPRODUCT((Data!$A$2:$A$909=DATE(2026,7,22))*EXACT(Data!$B$2:$B$909,$A82)*EXACT(Data!$C$2:$C$909,$B82)*Data!$D$2:$D$909)</f>
        <v>132</v>
      </c>
      <c r="F82" s="5" t="n">
        <f aca="false">SUMPRODUCT((Data!$A$2:$A$909=DATE(2026,7,23))*EXACT(Data!$B$2:$B$909,$A82)*EXACT(Data!$C$2:$C$909,$B82)*Data!$D$2:$D$909)</f>
        <v>65</v>
      </c>
      <c r="G82" s="5" t="n">
        <f aca="false">SUMPRODUCT((Data!$A$2:$A$909=DATE(2026,7,24))*EXACT(Data!$B$2:$B$909,$A82)*EXACT(Data!$C$2:$C$909,$B82)*Data!$D$2:$D$909)</f>
        <v>123</v>
      </c>
      <c r="H82" s="5" t="n">
        <f aca="false">SUMPRODUCT((Data!$A$2:$A$909=DATE(2026,7,25))*EXACT(Data!$B$2:$B$909,$A82)*EXACT(Data!$C$2:$C$909,$B82)*Data!$D$2:$D$909)</f>
        <v>0</v>
      </c>
      <c r="I82" s="5" t="n">
        <f aca="false">SUMPRODUCT((Data!$A$2:$A$909=DATE(2026,7,26))*EXACT(Data!$B$2:$B$909,$A82)*EXACT(Data!$C$2:$C$909,$B82)*Data!$D$2:$D$909)</f>
        <v>0</v>
      </c>
      <c r="J82" s="6" t="n">
        <f aca="false">SUM(C82:I82)</f>
        <v>438</v>
      </c>
      <c r="K82" s="7" t="n">
        <f aca="false">IF(C82=0,"",(I82-C82)/C82)</f>
        <v>-1</v>
      </c>
    </row>
    <row r="83" customFormat="false" ht="15" hidden="false" customHeight="false" outlineLevel="0" collapsed="false">
      <c r="A83" s="3" t="s">
        <v>113</v>
      </c>
      <c r="B83" s="3" t="s">
        <v>40</v>
      </c>
      <c r="C83" s="5" t="n">
        <f aca="false">SUMPRODUCT((Data!$A$2:$A$909=DATE(2026,7,20))*EXACT(Data!$B$2:$B$909,$A83)*EXACT(Data!$C$2:$C$909,$B83)*Data!$D$2:$D$909)</f>
        <v>0</v>
      </c>
      <c r="D83" s="5" t="n">
        <f aca="false">SUMPRODUCT((Data!$A$2:$A$909=DATE(2026,7,21))*EXACT(Data!$B$2:$B$909,$A83)*EXACT(Data!$C$2:$C$909,$B83)*Data!$D$2:$D$909)</f>
        <v>0</v>
      </c>
      <c r="E83" s="5" t="n">
        <f aca="false">SUMPRODUCT((Data!$A$2:$A$909=DATE(2026,7,22))*EXACT(Data!$B$2:$B$909,$A83)*EXACT(Data!$C$2:$C$909,$B83)*Data!$D$2:$D$909)</f>
        <v>1</v>
      </c>
      <c r="F83" s="5" t="n">
        <f aca="false">SUMPRODUCT((Data!$A$2:$A$909=DATE(2026,7,23))*EXACT(Data!$B$2:$B$909,$A83)*EXACT(Data!$C$2:$C$909,$B83)*Data!$D$2:$D$909)</f>
        <v>0</v>
      </c>
      <c r="G83" s="5" t="n">
        <f aca="false">SUMPRODUCT((Data!$A$2:$A$909=DATE(2026,7,24))*EXACT(Data!$B$2:$B$909,$A83)*EXACT(Data!$C$2:$C$909,$B83)*Data!$D$2:$D$909)</f>
        <v>0</v>
      </c>
      <c r="H83" s="5" t="n">
        <f aca="false">SUMPRODUCT((Data!$A$2:$A$909=DATE(2026,7,25))*EXACT(Data!$B$2:$B$909,$A83)*EXACT(Data!$C$2:$C$909,$B83)*Data!$D$2:$D$909)</f>
        <v>0</v>
      </c>
      <c r="I83" s="5" t="n">
        <f aca="false">SUMPRODUCT((Data!$A$2:$A$909=DATE(2026,7,26))*EXACT(Data!$B$2:$B$909,$A83)*EXACT(Data!$C$2:$C$909,$B83)*Data!$D$2:$D$909)</f>
        <v>0</v>
      </c>
      <c r="J83" s="6" t="n">
        <f aca="false">SUM(C83:I83)</f>
        <v>1</v>
      </c>
      <c r="K83" s="7" t="str">
        <f aca="false">IF(C83=0,"",(I83-C83)/C83)</f>
        <v/>
      </c>
    </row>
    <row r="84" customFormat="false" ht="15" hidden="false" customHeight="false" outlineLevel="0" collapsed="false">
      <c r="A84" s="3" t="s">
        <v>74</v>
      </c>
      <c r="B84" s="3" t="s">
        <v>16</v>
      </c>
      <c r="C84" s="5" t="n">
        <f aca="false">SUMPRODUCT((Data!$A$2:$A$909=DATE(2026,7,20))*EXACT(Data!$B$2:$B$909,$A84)*EXACT(Data!$C$2:$C$909,$B84)*Data!$D$2:$D$909)</f>
        <v>29</v>
      </c>
      <c r="D84" s="5" t="n">
        <f aca="false">SUMPRODUCT((Data!$A$2:$A$909=DATE(2026,7,21))*EXACT(Data!$B$2:$B$909,$A84)*EXACT(Data!$C$2:$C$909,$B84)*Data!$D$2:$D$909)</f>
        <v>15</v>
      </c>
      <c r="E84" s="5" t="n">
        <f aca="false">SUMPRODUCT((Data!$A$2:$A$909=DATE(2026,7,22))*EXACT(Data!$B$2:$B$909,$A84)*EXACT(Data!$C$2:$C$909,$B84)*Data!$D$2:$D$909)</f>
        <v>19</v>
      </c>
      <c r="F84" s="5" t="n">
        <f aca="false">SUMPRODUCT((Data!$A$2:$A$909=DATE(2026,7,23))*EXACT(Data!$B$2:$B$909,$A84)*EXACT(Data!$C$2:$C$909,$B84)*Data!$D$2:$D$909)</f>
        <v>21</v>
      </c>
      <c r="G84" s="5" t="n">
        <f aca="false">SUMPRODUCT((Data!$A$2:$A$909=DATE(2026,7,24))*EXACT(Data!$B$2:$B$909,$A84)*EXACT(Data!$C$2:$C$909,$B84)*Data!$D$2:$D$909)</f>
        <v>25</v>
      </c>
      <c r="H84" s="5" t="n">
        <f aca="false">SUMPRODUCT((Data!$A$2:$A$909=DATE(2026,7,25))*EXACT(Data!$B$2:$B$909,$A84)*EXACT(Data!$C$2:$C$909,$B84)*Data!$D$2:$D$909)</f>
        <v>2</v>
      </c>
      <c r="I84" s="5" t="n">
        <f aca="false">SUMPRODUCT((Data!$A$2:$A$909=DATE(2026,7,26))*EXACT(Data!$B$2:$B$909,$A84)*EXACT(Data!$C$2:$C$909,$B84)*Data!$D$2:$D$909)</f>
        <v>0</v>
      </c>
      <c r="J84" s="6" t="n">
        <f aca="false">SUM(C84:I84)</f>
        <v>111</v>
      </c>
      <c r="K84" s="7" t="n">
        <f aca="false">IF(C84=0,"",(I84-C84)/C84)</f>
        <v>-1</v>
      </c>
    </row>
    <row r="85" customFormat="false" ht="15" hidden="false" customHeight="false" outlineLevel="0" collapsed="false">
      <c r="A85" s="3" t="s">
        <v>75</v>
      </c>
      <c r="B85" s="3" t="s">
        <v>11</v>
      </c>
      <c r="C85" s="5" t="n">
        <f aca="false">SUMPRODUCT((Data!$A$2:$A$909=DATE(2026,7,20))*EXACT(Data!$B$2:$B$909,$A85)*EXACT(Data!$C$2:$C$909,$B85)*Data!$D$2:$D$909)</f>
        <v>3061</v>
      </c>
      <c r="D85" s="5" t="n">
        <f aca="false">SUMPRODUCT((Data!$A$2:$A$909=DATE(2026,7,21))*EXACT(Data!$B$2:$B$909,$A85)*EXACT(Data!$C$2:$C$909,$B85)*Data!$D$2:$D$909)</f>
        <v>3456</v>
      </c>
      <c r="E85" s="5" t="n">
        <f aca="false">SUMPRODUCT((Data!$A$2:$A$909=DATE(2026,7,22))*EXACT(Data!$B$2:$B$909,$A85)*EXACT(Data!$C$2:$C$909,$B85)*Data!$D$2:$D$909)</f>
        <v>4520</v>
      </c>
      <c r="F85" s="5" t="n">
        <f aca="false">SUMPRODUCT((Data!$A$2:$A$909=DATE(2026,7,23))*EXACT(Data!$B$2:$B$909,$A85)*EXACT(Data!$C$2:$C$909,$B85)*Data!$D$2:$D$909)</f>
        <v>3586</v>
      </c>
      <c r="G85" s="5" t="n">
        <f aca="false">SUMPRODUCT((Data!$A$2:$A$909=DATE(2026,7,24))*EXACT(Data!$B$2:$B$909,$A85)*EXACT(Data!$C$2:$C$909,$B85)*Data!$D$2:$D$909)</f>
        <v>2884</v>
      </c>
      <c r="H85" s="5" t="n">
        <f aca="false">SUMPRODUCT((Data!$A$2:$A$909=DATE(2026,7,25))*EXACT(Data!$B$2:$B$909,$A85)*EXACT(Data!$C$2:$C$909,$B85)*Data!$D$2:$D$909)</f>
        <v>98</v>
      </c>
      <c r="I85" s="5" t="n">
        <f aca="false">SUMPRODUCT((Data!$A$2:$A$909=DATE(2026,7,26))*EXACT(Data!$B$2:$B$909,$A85)*EXACT(Data!$C$2:$C$909,$B85)*Data!$D$2:$D$909)</f>
        <v>563</v>
      </c>
      <c r="J85" s="6" t="n">
        <f aca="false">SUM(C85:I85)</f>
        <v>18168</v>
      </c>
      <c r="K85" s="7" t="n">
        <f aca="false">IF(C85=0,"",(I85-C85)/C85)</f>
        <v>-0.816073178699771</v>
      </c>
    </row>
    <row r="86" customFormat="false" ht="15" hidden="false" customHeight="false" outlineLevel="0" collapsed="false">
      <c r="A86" s="3" t="s">
        <v>76</v>
      </c>
      <c r="B86" s="3" t="s">
        <v>11</v>
      </c>
      <c r="C86" s="5" t="n">
        <f aca="false">SUMPRODUCT((Data!$A$2:$A$909=DATE(2026,7,20))*EXACT(Data!$B$2:$B$909,$A86)*EXACT(Data!$C$2:$C$909,$B86)*Data!$D$2:$D$909)</f>
        <v>1354</v>
      </c>
      <c r="D86" s="5" t="n">
        <f aca="false">SUMPRODUCT((Data!$A$2:$A$909=DATE(2026,7,21))*EXACT(Data!$B$2:$B$909,$A86)*EXACT(Data!$C$2:$C$909,$B86)*Data!$D$2:$D$909)</f>
        <v>1608</v>
      </c>
      <c r="E86" s="5" t="n">
        <f aca="false">SUMPRODUCT((Data!$A$2:$A$909=DATE(2026,7,22))*EXACT(Data!$B$2:$B$909,$A86)*EXACT(Data!$C$2:$C$909,$B86)*Data!$D$2:$D$909)</f>
        <v>1536</v>
      </c>
      <c r="F86" s="5" t="n">
        <f aca="false">SUMPRODUCT((Data!$A$2:$A$909=DATE(2026,7,23))*EXACT(Data!$B$2:$B$909,$A86)*EXACT(Data!$C$2:$C$909,$B86)*Data!$D$2:$D$909)</f>
        <v>1173</v>
      </c>
      <c r="G86" s="5" t="n">
        <f aca="false">SUMPRODUCT((Data!$A$2:$A$909=DATE(2026,7,24))*EXACT(Data!$B$2:$B$909,$A86)*EXACT(Data!$C$2:$C$909,$B86)*Data!$D$2:$D$909)</f>
        <v>1520</v>
      </c>
      <c r="H86" s="5" t="n">
        <f aca="false">SUMPRODUCT((Data!$A$2:$A$909=DATE(2026,7,25))*EXACT(Data!$B$2:$B$909,$A86)*EXACT(Data!$C$2:$C$909,$B86)*Data!$D$2:$D$909)</f>
        <v>166</v>
      </c>
      <c r="I86" s="5" t="n">
        <f aca="false">SUMPRODUCT((Data!$A$2:$A$909=DATE(2026,7,26))*EXACT(Data!$B$2:$B$909,$A86)*EXACT(Data!$C$2:$C$909,$B86)*Data!$D$2:$D$909)</f>
        <v>132</v>
      </c>
      <c r="J86" s="6" t="n">
        <f aca="false">SUM(C86:I86)</f>
        <v>7489</v>
      </c>
      <c r="K86" s="7" t="n">
        <f aca="false">IF(C86=0,"",(I86-C86)/C86)</f>
        <v>-0.902511078286558</v>
      </c>
    </row>
    <row r="87" customFormat="false" ht="15" hidden="false" customHeight="false" outlineLevel="0" collapsed="false">
      <c r="A87" s="3" t="s">
        <v>77</v>
      </c>
      <c r="B87" s="3" t="s">
        <v>20</v>
      </c>
      <c r="C87" s="5" t="n">
        <f aca="false">SUMPRODUCT((Data!$A$2:$A$909=DATE(2026,7,20))*EXACT(Data!$B$2:$B$909,$A87)*EXACT(Data!$C$2:$C$909,$B87)*Data!$D$2:$D$909)</f>
        <v>0</v>
      </c>
      <c r="D87" s="5" t="n">
        <f aca="false">SUMPRODUCT((Data!$A$2:$A$909=DATE(2026,7,21))*EXACT(Data!$B$2:$B$909,$A87)*EXACT(Data!$C$2:$C$909,$B87)*Data!$D$2:$D$909)</f>
        <v>0</v>
      </c>
      <c r="E87" s="5" t="n">
        <f aca="false">SUMPRODUCT((Data!$A$2:$A$909=DATE(2026,7,22))*EXACT(Data!$B$2:$B$909,$A87)*EXACT(Data!$C$2:$C$909,$B87)*Data!$D$2:$D$909)</f>
        <v>1</v>
      </c>
      <c r="F87" s="5" t="n">
        <f aca="false">SUMPRODUCT((Data!$A$2:$A$909=DATE(2026,7,23))*EXACT(Data!$B$2:$B$909,$A87)*EXACT(Data!$C$2:$C$909,$B87)*Data!$D$2:$D$909)</f>
        <v>2</v>
      </c>
      <c r="G87" s="5" t="n">
        <f aca="false">SUMPRODUCT((Data!$A$2:$A$909=DATE(2026,7,24))*EXACT(Data!$B$2:$B$909,$A87)*EXACT(Data!$C$2:$C$909,$B87)*Data!$D$2:$D$909)</f>
        <v>0</v>
      </c>
      <c r="H87" s="5" t="n">
        <f aca="false">SUMPRODUCT((Data!$A$2:$A$909=DATE(2026,7,25))*EXACT(Data!$B$2:$B$909,$A87)*EXACT(Data!$C$2:$C$909,$B87)*Data!$D$2:$D$909)</f>
        <v>0</v>
      </c>
      <c r="I87" s="5" t="n">
        <f aca="false">SUMPRODUCT((Data!$A$2:$A$909=DATE(2026,7,26))*EXACT(Data!$B$2:$B$909,$A87)*EXACT(Data!$C$2:$C$909,$B87)*Data!$D$2:$D$909)</f>
        <v>0</v>
      </c>
      <c r="J87" s="6" t="n">
        <f aca="false">SUM(C87:I87)</f>
        <v>3</v>
      </c>
      <c r="K87" s="7" t="str">
        <f aca="false">IF(C87=0,"",(I87-C87)/C87)</f>
        <v/>
      </c>
    </row>
    <row r="88" customFormat="false" ht="15" hidden="false" customHeight="false" outlineLevel="0" collapsed="false">
      <c r="A88" s="3" t="s">
        <v>77</v>
      </c>
      <c r="B88" s="3" t="s">
        <v>21</v>
      </c>
      <c r="C88" s="5" t="n">
        <f aca="false">SUMPRODUCT((Data!$A$2:$A$909=DATE(2026,7,20))*EXACT(Data!$B$2:$B$909,$A88)*EXACT(Data!$C$2:$C$909,$B88)*Data!$D$2:$D$909)</f>
        <v>7</v>
      </c>
      <c r="D88" s="5" t="n">
        <f aca="false">SUMPRODUCT((Data!$A$2:$A$909=DATE(2026,7,21))*EXACT(Data!$B$2:$B$909,$A88)*EXACT(Data!$C$2:$C$909,$B88)*Data!$D$2:$D$909)</f>
        <v>0</v>
      </c>
      <c r="E88" s="5" t="n">
        <f aca="false">SUMPRODUCT((Data!$A$2:$A$909=DATE(2026,7,22))*EXACT(Data!$B$2:$B$909,$A88)*EXACT(Data!$C$2:$C$909,$B88)*Data!$D$2:$D$909)</f>
        <v>9</v>
      </c>
      <c r="F88" s="5" t="n">
        <f aca="false">SUMPRODUCT((Data!$A$2:$A$909=DATE(2026,7,23))*EXACT(Data!$B$2:$B$909,$A88)*EXACT(Data!$C$2:$C$909,$B88)*Data!$D$2:$D$909)</f>
        <v>4</v>
      </c>
      <c r="G88" s="5" t="n">
        <f aca="false">SUMPRODUCT((Data!$A$2:$A$909=DATE(2026,7,24))*EXACT(Data!$B$2:$B$909,$A88)*EXACT(Data!$C$2:$C$909,$B88)*Data!$D$2:$D$909)</f>
        <v>2</v>
      </c>
      <c r="H88" s="5" t="n">
        <f aca="false">SUMPRODUCT((Data!$A$2:$A$909=DATE(2026,7,25))*EXACT(Data!$B$2:$B$909,$A88)*EXACT(Data!$C$2:$C$909,$B88)*Data!$D$2:$D$909)</f>
        <v>2</v>
      </c>
      <c r="I88" s="5" t="n">
        <f aca="false">SUMPRODUCT((Data!$A$2:$A$909=DATE(2026,7,26))*EXACT(Data!$B$2:$B$909,$A88)*EXACT(Data!$C$2:$C$909,$B88)*Data!$D$2:$D$909)</f>
        <v>0</v>
      </c>
      <c r="J88" s="6" t="n">
        <f aca="false">SUM(C88:I88)</f>
        <v>24</v>
      </c>
      <c r="K88" s="7" t="n">
        <f aca="false">IF(C88=0,"",(I88-C88)/C88)</f>
        <v>-1</v>
      </c>
    </row>
    <row r="89" customFormat="false" ht="15" hidden="false" customHeight="false" outlineLevel="0" collapsed="false">
      <c r="A89" s="3" t="s">
        <v>77</v>
      </c>
      <c r="B89" s="3" t="s">
        <v>35</v>
      </c>
      <c r="C89" s="5" t="n">
        <f aca="false">SUMPRODUCT((Data!$A$2:$A$909=DATE(2026,7,20))*EXACT(Data!$B$2:$B$909,$A89)*EXACT(Data!$C$2:$C$909,$B89)*Data!$D$2:$D$909)</f>
        <v>1762</v>
      </c>
      <c r="D89" s="5" t="n">
        <f aca="false">SUMPRODUCT((Data!$A$2:$A$909=DATE(2026,7,21))*EXACT(Data!$B$2:$B$909,$A89)*EXACT(Data!$C$2:$C$909,$B89)*Data!$D$2:$D$909)</f>
        <v>5934</v>
      </c>
      <c r="E89" s="5" t="n">
        <f aca="false">SUMPRODUCT((Data!$A$2:$A$909=DATE(2026,7,22))*EXACT(Data!$B$2:$B$909,$A89)*EXACT(Data!$C$2:$C$909,$B89)*Data!$D$2:$D$909)</f>
        <v>1442</v>
      </c>
      <c r="F89" s="5" t="n">
        <f aca="false">SUMPRODUCT((Data!$A$2:$A$909=DATE(2026,7,23))*EXACT(Data!$B$2:$B$909,$A89)*EXACT(Data!$C$2:$C$909,$B89)*Data!$D$2:$D$909)</f>
        <v>1758</v>
      </c>
      <c r="G89" s="5" t="n">
        <f aca="false">SUMPRODUCT((Data!$A$2:$A$909=DATE(2026,7,24))*EXACT(Data!$B$2:$B$909,$A89)*EXACT(Data!$C$2:$C$909,$B89)*Data!$D$2:$D$909)</f>
        <v>424</v>
      </c>
      <c r="H89" s="5" t="n">
        <f aca="false">SUMPRODUCT((Data!$A$2:$A$909=DATE(2026,7,25))*EXACT(Data!$B$2:$B$909,$A89)*EXACT(Data!$C$2:$C$909,$B89)*Data!$D$2:$D$909)</f>
        <v>0</v>
      </c>
      <c r="I89" s="5" t="n">
        <f aca="false">SUMPRODUCT((Data!$A$2:$A$909=DATE(2026,7,26))*EXACT(Data!$B$2:$B$909,$A89)*EXACT(Data!$C$2:$C$909,$B89)*Data!$D$2:$D$909)</f>
        <v>120</v>
      </c>
      <c r="J89" s="6" t="n">
        <f aca="false">SUM(C89:I89)</f>
        <v>11440</v>
      </c>
      <c r="K89" s="7" t="n">
        <f aca="false">IF(C89=0,"",(I89-C89)/C89)</f>
        <v>-0.931895573212259</v>
      </c>
    </row>
    <row r="90" customFormat="false" ht="15" hidden="false" customHeight="false" outlineLevel="0" collapsed="false">
      <c r="A90" s="3" t="s">
        <v>77</v>
      </c>
      <c r="B90" s="3" t="s">
        <v>24</v>
      </c>
      <c r="C90" s="5" t="n">
        <f aca="false">SUMPRODUCT((Data!$A$2:$A$909=DATE(2026,7,20))*EXACT(Data!$B$2:$B$909,$A90)*EXACT(Data!$C$2:$C$909,$B90)*Data!$D$2:$D$909)</f>
        <v>4</v>
      </c>
      <c r="D90" s="5" t="n">
        <f aca="false">SUMPRODUCT((Data!$A$2:$A$909=DATE(2026,7,21))*EXACT(Data!$B$2:$B$909,$A90)*EXACT(Data!$C$2:$C$909,$B90)*Data!$D$2:$D$909)</f>
        <v>2</v>
      </c>
      <c r="E90" s="5" t="n">
        <f aca="false">SUMPRODUCT((Data!$A$2:$A$909=DATE(2026,7,22))*EXACT(Data!$B$2:$B$909,$A90)*EXACT(Data!$C$2:$C$909,$B90)*Data!$D$2:$D$909)</f>
        <v>18</v>
      </c>
      <c r="F90" s="5" t="n">
        <f aca="false">SUMPRODUCT((Data!$A$2:$A$909=DATE(2026,7,23))*EXACT(Data!$B$2:$B$909,$A90)*EXACT(Data!$C$2:$C$909,$B90)*Data!$D$2:$D$909)</f>
        <v>0</v>
      </c>
      <c r="G90" s="5" t="n">
        <f aca="false">SUMPRODUCT((Data!$A$2:$A$909=DATE(2026,7,24))*EXACT(Data!$B$2:$B$909,$A90)*EXACT(Data!$C$2:$C$909,$B90)*Data!$D$2:$D$909)</f>
        <v>0</v>
      </c>
      <c r="H90" s="5" t="n">
        <f aca="false">SUMPRODUCT((Data!$A$2:$A$909=DATE(2026,7,25))*EXACT(Data!$B$2:$B$909,$A90)*EXACT(Data!$C$2:$C$909,$B90)*Data!$D$2:$D$909)</f>
        <v>0</v>
      </c>
      <c r="I90" s="5" t="n">
        <f aca="false">SUMPRODUCT((Data!$A$2:$A$909=DATE(2026,7,26))*EXACT(Data!$B$2:$B$909,$A90)*EXACT(Data!$C$2:$C$909,$B90)*Data!$D$2:$D$909)</f>
        <v>0</v>
      </c>
      <c r="J90" s="6" t="n">
        <f aca="false">SUM(C90:I90)</f>
        <v>24</v>
      </c>
      <c r="K90" s="7" t="n">
        <f aca="false">IF(C90=0,"",(I90-C90)/C90)</f>
        <v>-1</v>
      </c>
    </row>
    <row r="91" customFormat="false" ht="15" hidden="false" customHeight="false" outlineLevel="0" collapsed="false">
      <c r="A91" s="3" t="s">
        <v>77</v>
      </c>
      <c r="B91" s="3" t="s">
        <v>78</v>
      </c>
      <c r="C91" s="5" t="n">
        <f aca="false">SUMPRODUCT((Data!$A$2:$A$909=DATE(2026,7,20))*EXACT(Data!$B$2:$B$909,$A91)*EXACT(Data!$C$2:$C$909,$B91)*Data!$D$2:$D$909)</f>
        <v>610</v>
      </c>
      <c r="D91" s="5" t="n">
        <f aca="false">SUMPRODUCT((Data!$A$2:$A$909=DATE(2026,7,21))*EXACT(Data!$B$2:$B$909,$A91)*EXACT(Data!$C$2:$C$909,$B91)*Data!$D$2:$D$909)</f>
        <v>536</v>
      </c>
      <c r="E91" s="5" t="n">
        <f aca="false">SUMPRODUCT((Data!$A$2:$A$909=DATE(2026,7,22))*EXACT(Data!$B$2:$B$909,$A91)*EXACT(Data!$C$2:$C$909,$B91)*Data!$D$2:$D$909)</f>
        <v>620</v>
      </c>
      <c r="F91" s="5" t="n">
        <f aca="false">SUMPRODUCT((Data!$A$2:$A$909=DATE(2026,7,23))*EXACT(Data!$B$2:$B$909,$A91)*EXACT(Data!$C$2:$C$909,$B91)*Data!$D$2:$D$909)</f>
        <v>406</v>
      </c>
      <c r="G91" s="5" t="n">
        <f aca="false">SUMPRODUCT((Data!$A$2:$A$909=DATE(2026,7,24))*EXACT(Data!$B$2:$B$909,$A91)*EXACT(Data!$C$2:$C$909,$B91)*Data!$D$2:$D$909)</f>
        <v>372</v>
      </c>
      <c r="H91" s="5" t="n">
        <f aca="false">SUMPRODUCT((Data!$A$2:$A$909=DATE(2026,7,25))*EXACT(Data!$B$2:$B$909,$A91)*EXACT(Data!$C$2:$C$909,$B91)*Data!$D$2:$D$909)</f>
        <v>42</v>
      </c>
      <c r="I91" s="5" t="n">
        <f aca="false">SUMPRODUCT((Data!$A$2:$A$909=DATE(2026,7,26))*EXACT(Data!$B$2:$B$909,$A91)*EXACT(Data!$C$2:$C$909,$B91)*Data!$D$2:$D$909)</f>
        <v>60</v>
      </c>
      <c r="J91" s="6" t="n">
        <f aca="false">SUM(C91:I91)</f>
        <v>2646</v>
      </c>
      <c r="K91" s="7" t="n">
        <f aca="false">IF(C91=0,"",(I91-C91)/C91)</f>
        <v>-0.901639344262295</v>
      </c>
    </row>
    <row r="92" customFormat="false" ht="15" hidden="false" customHeight="false" outlineLevel="0" collapsed="false">
      <c r="A92" s="3" t="s">
        <v>77</v>
      </c>
      <c r="B92" s="3" t="s">
        <v>22</v>
      </c>
      <c r="C92" s="5" t="n">
        <f aca="false">SUMPRODUCT((Data!$A$2:$A$909=DATE(2026,7,20))*EXACT(Data!$B$2:$B$909,$A92)*EXACT(Data!$C$2:$C$909,$B92)*Data!$D$2:$D$909)</f>
        <v>0</v>
      </c>
      <c r="D92" s="5" t="n">
        <f aca="false">SUMPRODUCT((Data!$A$2:$A$909=DATE(2026,7,21))*EXACT(Data!$B$2:$B$909,$A92)*EXACT(Data!$C$2:$C$909,$B92)*Data!$D$2:$D$909)</f>
        <v>0</v>
      </c>
      <c r="E92" s="5" t="n">
        <f aca="false">SUMPRODUCT((Data!$A$2:$A$909=DATE(2026,7,22))*EXACT(Data!$B$2:$B$909,$A92)*EXACT(Data!$C$2:$C$909,$B92)*Data!$D$2:$D$909)</f>
        <v>1</v>
      </c>
      <c r="F92" s="5" t="n">
        <f aca="false">SUMPRODUCT((Data!$A$2:$A$909=DATE(2026,7,23))*EXACT(Data!$B$2:$B$909,$A92)*EXACT(Data!$C$2:$C$909,$B92)*Data!$D$2:$D$909)</f>
        <v>2</v>
      </c>
      <c r="G92" s="5" t="n">
        <f aca="false">SUMPRODUCT((Data!$A$2:$A$909=DATE(2026,7,24))*EXACT(Data!$B$2:$B$909,$A92)*EXACT(Data!$C$2:$C$909,$B92)*Data!$D$2:$D$909)</f>
        <v>0</v>
      </c>
      <c r="H92" s="5" t="n">
        <f aca="false">SUMPRODUCT((Data!$A$2:$A$909=DATE(2026,7,25))*EXACT(Data!$B$2:$B$909,$A92)*EXACT(Data!$C$2:$C$909,$B92)*Data!$D$2:$D$909)</f>
        <v>0</v>
      </c>
      <c r="I92" s="5" t="n">
        <f aca="false">SUMPRODUCT((Data!$A$2:$A$909=DATE(2026,7,26))*EXACT(Data!$B$2:$B$909,$A92)*EXACT(Data!$C$2:$C$909,$B92)*Data!$D$2:$D$909)</f>
        <v>0</v>
      </c>
      <c r="J92" s="6" t="n">
        <f aca="false">SUM(C92:I92)</f>
        <v>3</v>
      </c>
      <c r="K92" s="7" t="str">
        <f aca="false">IF(C92=0,"",(I92-C92)/C92)</f>
        <v/>
      </c>
    </row>
    <row r="93" customFormat="false" ht="15" hidden="false" customHeight="false" outlineLevel="0" collapsed="false">
      <c r="A93" s="3" t="s">
        <v>77</v>
      </c>
      <c r="B93" s="3" t="s">
        <v>23</v>
      </c>
      <c r="C93" s="5" t="n">
        <f aca="false">SUMPRODUCT((Data!$A$2:$A$909=DATE(2026,7,20))*EXACT(Data!$B$2:$B$909,$A93)*EXACT(Data!$C$2:$C$909,$B93)*Data!$D$2:$D$909)</f>
        <v>172</v>
      </c>
      <c r="D93" s="5" t="n">
        <f aca="false">SUMPRODUCT((Data!$A$2:$A$909=DATE(2026,7,21))*EXACT(Data!$B$2:$B$909,$A93)*EXACT(Data!$C$2:$C$909,$B93)*Data!$D$2:$D$909)</f>
        <v>64</v>
      </c>
      <c r="E93" s="5" t="n">
        <f aca="false">SUMPRODUCT((Data!$A$2:$A$909=DATE(2026,7,22))*EXACT(Data!$B$2:$B$909,$A93)*EXACT(Data!$C$2:$C$909,$B93)*Data!$D$2:$D$909)</f>
        <v>170</v>
      </c>
      <c r="F93" s="5" t="n">
        <f aca="false">SUMPRODUCT((Data!$A$2:$A$909=DATE(2026,7,23))*EXACT(Data!$B$2:$B$909,$A93)*EXACT(Data!$C$2:$C$909,$B93)*Data!$D$2:$D$909)</f>
        <v>76</v>
      </c>
      <c r="G93" s="5" t="n">
        <f aca="false">SUMPRODUCT((Data!$A$2:$A$909=DATE(2026,7,24))*EXACT(Data!$B$2:$B$909,$A93)*EXACT(Data!$C$2:$C$909,$B93)*Data!$D$2:$D$909)</f>
        <v>68</v>
      </c>
      <c r="H93" s="5" t="n">
        <f aca="false">SUMPRODUCT((Data!$A$2:$A$909=DATE(2026,7,25))*EXACT(Data!$B$2:$B$909,$A93)*EXACT(Data!$C$2:$C$909,$B93)*Data!$D$2:$D$909)</f>
        <v>2</v>
      </c>
      <c r="I93" s="5" t="n">
        <f aca="false">SUMPRODUCT((Data!$A$2:$A$909=DATE(2026,7,26))*EXACT(Data!$B$2:$B$909,$A93)*EXACT(Data!$C$2:$C$909,$B93)*Data!$D$2:$D$909)</f>
        <v>8</v>
      </c>
      <c r="J93" s="6" t="n">
        <f aca="false">SUM(C93:I93)</f>
        <v>560</v>
      </c>
      <c r="K93" s="7" t="n">
        <f aca="false">IF(C93=0,"",(I93-C93)/C93)</f>
        <v>-0.953488372093023</v>
      </c>
    </row>
    <row r="94" customFormat="false" ht="15" hidden="false" customHeight="false" outlineLevel="0" collapsed="false">
      <c r="A94" s="3" t="s">
        <v>79</v>
      </c>
      <c r="B94" s="3" t="s">
        <v>14</v>
      </c>
      <c r="C94" s="5" t="n">
        <f aca="false">SUMPRODUCT((Data!$A$2:$A$909=DATE(2026,7,20))*EXACT(Data!$B$2:$B$909,$A94)*EXACT(Data!$C$2:$C$909,$B94)*Data!$D$2:$D$909)</f>
        <v>1</v>
      </c>
      <c r="D94" s="5" t="n">
        <f aca="false">SUMPRODUCT((Data!$A$2:$A$909=DATE(2026,7,21))*EXACT(Data!$B$2:$B$909,$A94)*EXACT(Data!$C$2:$C$909,$B94)*Data!$D$2:$D$909)</f>
        <v>1</v>
      </c>
      <c r="E94" s="5" t="n">
        <f aca="false">SUMPRODUCT((Data!$A$2:$A$909=DATE(2026,7,22))*EXACT(Data!$B$2:$B$909,$A94)*EXACT(Data!$C$2:$C$909,$B94)*Data!$D$2:$D$909)</f>
        <v>1</v>
      </c>
      <c r="F94" s="5" t="n">
        <f aca="false">SUMPRODUCT((Data!$A$2:$A$909=DATE(2026,7,23))*EXACT(Data!$B$2:$B$909,$A94)*EXACT(Data!$C$2:$C$909,$B94)*Data!$D$2:$D$909)</f>
        <v>1</v>
      </c>
      <c r="G94" s="5" t="n">
        <f aca="false">SUMPRODUCT((Data!$A$2:$A$909=DATE(2026,7,24))*EXACT(Data!$B$2:$B$909,$A94)*EXACT(Data!$C$2:$C$909,$B94)*Data!$D$2:$D$909)</f>
        <v>1</v>
      </c>
      <c r="H94" s="5" t="n">
        <f aca="false">SUMPRODUCT((Data!$A$2:$A$909=DATE(2026,7,25))*EXACT(Data!$B$2:$B$909,$A94)*EXACT(Data!$C$2:$C$909,$B94)*Data!$D$2:$D$909)</f>
        <v>1</v>
      </c>
      <c r="I94" s="5" t="n">
        <f aca="false">SUMPRODUCT((Data!$A$2:$A$909=DATE(2026,7,26))*EXACT(Data!$B$2:$B$909,$A94)*EXACT(Data!$C$2:$C$909,$B94)*Data!$D$2:$D$909)</f>
        <v>1</v>
      </c>
      <c r="J94" s="6" t="n">
        <f aca="false">SUM(C94:I94)</f>
        <v>7</v>
      </c>
      <c r="K94" s="7" t="n">
        <f aca="false">IF(C94=0,"",(I94-C94)/C94)</f>
        <v>0</v>
      </c>
    </row>
    <row r="95" customFormat="false" ht="15" hidden="false" customHeight="false" outlineLevel="0" collapsed="false">
      <c r="A95" s="3" t="s">
        <v>80</v>
      </c>
      <c r="B95" s="3" t="s">
        <v>14</v>
      </c>
      <c r="C95" s="5" t="n">
        <f aca="false">SUMPRODUCT((Data!$A$2:$A$909=DATE(2026,7,20))*EXACT(Data!$B$2:$B$909,$A95)*EXACT(Data!$C$2:$C$909,$B95)*Data!$D$2:$D$909)</f>
        <v>67</v>
      </c>
      <c r="D95" s="5" t="n">
        <f aca="false">SUMPRODUCT((Data!$A$2:$A$909=DATE(2026,7,21))*EXACT(Data!$B$2:$B$909,$A95)*EXACT(Data!$C$2:$C$909,$B95)*Data!$D$2:$D$909)</f>
        <v>60</v>
      </c>
      <c r="E95" s="5" t="n">
        <f aca="false">SUMPRODUCT((Data!$A$2:$A$909=DATE(2026,7,22))*EXACT(Data!$B$2:$B$909,$A95)*EXACT(Data!$C$2:$C$909,$B95)*Data!$D$2:$D$909)</f>
        <v>82</v>
      </c>
      <c r="F95" s="5" t="n">
        <f aca="false">SUMPRODUCT((Data!$A$2:$A$909=DATE(2026,7,23))*EXACT(Data!$B$2:$B$909,$A95)*EXACT(Data!$C$2:$C$909,$B95)*Data!$D$2:$D$909)</f>
        <v>35</v>
      </c>
      <c r="G95" s="5" t="n">
        <f aca="false">SUMPRODUCT((Data!$A$2:$A$909=DATE(2026,7,24))*EXACT(Data!$B$2:$B$909,$A95)*EXACT(Data!$C$2:$C$909,$B95)*Data!$D$2:$D$909)</f>
        <v>50</v>
      </c>
      <c r="H95" s="5" t="n">
        <f aca="false">SUMPRODUCT((Data!$A$2:$A$909=DATE(2026,7,25))*EXACT(Data!$B$2:$B$909,$A95)*EXACT(Data!$C$2:$C$909,$B95)*Data!$D$2:$D$909)</f>
        <v>6</v>
      </c>
      <c r="I95" s="5" t="n">
        <f aca="false">SUMPRODUCT((Data!$A$2:$A$909=DATE(2026,7,26))*EXACT(Data!$B$2:$B$909,$A95)*EXACT(Data!$C$2:$C$909,$B95)*Data!$D$2:$D$909)</f>
        <v>8</v>
      </c>
      <c r="J95" s="6" t="n">
        <f aca="false">SUM(C95:I95)</f>
        <v>308</v>
      </c>
      <c r="K95" s="7" t="n">
        <f aca="false">IF(C95=0,"",(I95-C95)/C95)</f>
        <v>-0.880597014925373</v>
      </c>
    </row>
    <row r="96" customFormat="false" ht="15" hidden="false" customHeight="false" outlineLevel="0" collapsed="false">
      <c r="A96" s="3" t="s">
        <v>80</v>
      </c>
      <c r="B96" s="3" t="s">
        <v>40</v>
      </c>
      <c r="C96" s="5" t="n">
        <f aca="false">SUMPRODUCT((Data!$A$2:$A$909=DATE(2026,7,20))*EXACT(Data!$B$2:$B$909,$A96)*EXACT(Data!$C$2:$C$909,$B96)*Data!$D$2:$D$909)</f>
        <v>88</v>
      </c>
      <c r="D96" s="5" t="n">
        <f aca="false">SUMPRODUCT((Data!$A$2:$A$909=DATE(2026,7,21))*EXACT(Data!$B$2:$B$909,$A96)*EXACT(Data!$C$2:$C$909,$B96)*Data!$D$2:$D$909)</f>
        <v>59</v>
      </c>
      <c r="E96" s="5" t="n">
        <f aca="false">SUMPRODUCT((Data!$A$2:$A$909=DATE(2026,7,22))*EXACT(Data!$B$2:$B$909,$A96)*EXACT(Data!$C$2:$C$909,$B96)*Data!$D$2:$D$909)</f>
        <v>108</v>
      </c>
      <c r="F96" s="5" t="n">
        <f aca="false">SUMPRODUCT((Data!$A$2:$A$909=DATE(2026,7,23))*EXACT(Data!$B$2:$B$909,$A96)*EXACT(Data!$C$2:$C$909,$B96)*Data!$D$2:$D$909)</f>
        <v>70</v>
      </c>
      <c r="G96" s="5" t="n">
        <f aca="false">SUMPRODUCT((Data!$A$2:$A$909=DATE(2026,7,24))*EXACT(Data!$B$2:$B$909,$A96)*EXACT(Data!$C$2:$C$909,$B96)*Data!$D$2:$D$909)</f>
        <v>50</v>
      </c>
      <c r="H96" s="5" t="n">
        <f aca="false">SUMPRODUCT((Data!$A$2:$A$909=DATE(2026,7,25))*EXACT(Data!$B$2:$B$909,$A96)*EXACT(Data!$C$2:$C$909,$B96)*Data!$D$2:$D$909)</f>
        <v>44</v>
      </c>
      <c r="I96" s="5" t="n">
        <f aca="false">SUMPRODUCT((Data!$A$2:$A$909=DATE(2026,7,26))*EXACT(Data!$B$2:$B$909,$A96)*EXACT(Data!$C$2:$C$909,$B96)*Data!$D$2:$D$909)</f>
        <v>37</v>
      </c>
      <c r="J96" s="6" t="n">
        <f aca="false">SUM(C96:I96)</f>
        <v>456</v>
      </c>
      <c r="K96" s="7" t="n">
        <f aca="false">IF(C96=0,"",(I96-C96)/C96)</f>
        <v>-0.579545454545455</v>
      </c>
    </row>
    <row r="97" customFormat="false" ht="15" hidden="false" customHeight="false" outlineLevel="0" collapsed="false">
      <c r="A97" s="3" t="s">
        <v>81</v>
      </c>
      <c r="B97" s="3" t="s">
        <v>40</v>
      </c>
      <c r="C97" s="5" t="n">
        <f aca="false">SUMPRODUCT((Data!$A$2:$A$909=DATE(2026,7,20))*EXACT(Data!$B$2:$B$909,$A97)*EXACT(Data!$C$2:$C$909,$B97)*Data!$D$2:$D$909)</f>
        <v>3398</v>
      </c>
      <c r="D97" s="5" t="n">
        <f aca="false">SUMPRODUCT((Data!$A$2:$A$909=DATE(2026,7,21))*EXACT(Data!$B$2:$B$909,$A97)*EXACT(Data!$C$2:$C$909,$B97)*Data!$D$2:$D$909)</f>
        <v>3178</v>
      </c>
      <c r="E97" s="5" t="n">
        <f aca="false">SUMPRODUCT((Data!$A$2:$A$909=DATE(2026,7,22))*EXACT(Data!$B$2:$B$909,$A97)*EXACT(Data!$C$2:$C$909,$B97)*Data!$D$2:$D$909)</f>
        <v>3418</v>
      </c>
      <c r="F97" s="5" t="n">
        <f aca="false">SUMPRODUCT((Data!$A$2:$A$909=DATE(2026,7,23))*EXACT(Data!$B$2:$B$909,$A97)*EXACT(Data!$C$2:$C$909,$B97)*Data!$D$2:$D$909)</f>
        <v>3890</v>
      </c>
      <c r="G97" s="5" t="n">
        <f aca="false">SUMPRODUCT((Data!$A$2:$A$909=DATE(2026,7,24))*EXACT(Data!$B$2:$B$909,$A97)*EXACT(Data!$C$2:$C$909,$B97)*Data!$D$2:$D$909)</f>
        <v>4184</v>
      </c>
      <c r="H97" s="5" t="n">
        <f aca="false">SUMPRODUCT((Data!$A$2:$A$909=DATE(2026,7,25))*EXACT(Data!$B$2:$B$909,$A97)*EXACT(Data!$C$2:$C$909,$B97)*Data!$D$2:$D$909)</f>
        <v>45</v>
      </c>
      <c r="I97" s="5" t="n">
        <f aca="false">SUMPRODUCT((Data!$A$2:$A$909=DATE(2026,7,26))*EXACT(Data!$B$2:$B$909,$A97)*EXACT(Data!$C$2:$C$909,$B97)*Data!$D$2:$D$909)</f>
        <v>8</v>
      </c>
      <c r="J97" s="6" t="n">
        <f aca="false">SUM(C97:I97)</f>
        <v>18121</v>
      </c>
      <c r="K97" s="7" t="n">
        <f aca="false">IF(C97=0,"",(I97-C97)/C97)</f>
        <v>-0.997645673925839</v>
      </c>
    </row>
    <row r="98" customFormat="false" ht="15" hidden="false" customHeight="false" outlineLevel="0" collapsed="false">
      <c r="A98" s="3" t="s">
        <v>82</v>
      </c>
      <c r="B98" s="3" t="s">
        <v>16</v>
      </c>
      <c r="C98" s="5" t="n">
        <f aca="false">SUMPRODUCT((Data!$A$2:$A$909=DATE(2026,7,20))*EXACT(Data!$B$2:$B$909,$A98)*EXACT(Data!$C$2:$C$909,$B98)*Data!$D$2:$D$909)</f>
        <v>26</v>
      </c>
      <c r="D98" s="5" t="n">
        <f aca="false">SUMPRODUCT((Data!$A$2:$A$909=DATE(2026,7,21))*EXACT(Data!$B$2:$B$909,$A98)*EXACT(Data!$C$2:$C$909,$B98)*Data!$D$2:$D$909)</f>
        <v>5</v>
      </c>
      <c r="E98" s="5" t="n">
        <f aca="false">SUMPRODUCT((Data!$A$2:$A$909=DATE(2026,7,22))*EXACT(Data!$B$2:$B$909,$A98)*EXACT(Data!$C$2:$C$909,$B98)*Data!$D$2:$D$909)</f>
        <v>13</v>
      </c>
      <c r="F98" s="5" t="n">
        <f aca="false">SUMPRODUCT((Data!$A$2:$A$909=DATE(2026,7,23))*EXACT(Data!$B$2:$B$909,$A98)*EXACT(Data!$C$2:$C$909,$B98)*Data!$D$2:$D$909)</f>
        <v>17</v>
      </c>
      <c r="G98" s="5" t="n">
        <f aca="false">SUMPRODUCT((Data!$A$2:$A$909=DATE(2026,7,24))*EXACT(Data!$B$2:$B$909,$A98)*EXACT(Data!$C$2:$C$909,$B98)*Data!$D$2:$D$909)</f>
        <v>16</v>
      </c>
      <c r="H98" s="5" t="n">
        <f aca="false">SUMPRODUCT((Data!$A$2:$A$909=DATE(2026,7,25))*EXACT(Data!$B$2:$B$909,$A98)*EXACT(Data!$C$2:$C$909,$B98)*Data!$D$2:$D$909)</f>
        <v>1</v>
      </c>
      <c r="I98" s="5" t="n">
        <f aca="false">SUMPRODUCT((Data!$A$2:$A$909=DATE(2026,7,26))*EXACT(Data!$B$2:$B$909,$A98)*EXACT(Data!$C$2:$C$909,$B98)*Data!$D$2:$D$909)</f>
        <v>1</v>
      </c>
      <c r="J98" s="6" t="n">
        <f aca="false">SUM(C98:I98)</f>
        <v>79</v>
      </c>
      <c r="K98" s="7" t="n">
        <f aca="false">IF(C98=0,"",(I98-C98)/C98)</f>
        <v>-0.961538461538462</v>
      </c>
    </row>
    <row r="99" customFormat="false" ht="15" hidden="false" customHeight="false" outlineLevel="0" collapsed="false">
      <c r="A99" s="3" t="s">
        <v>83</v>
      </c>
      <c r="B99" s="3" t="s">
        <v>16</v>
      </c>
      <c r="C99" s="5" t="n">
        <f aca="false">SUMPRODUCT((Data!$A$2:$A$909=DATE(2026,7,20))*EXACT(Data!$B$2:$B$909,$A99)*EXACT(Data!$C$2:$C$909,$B99)*Data!$D$2:$D$909)</f>
        <v>31</v>
      </c>
      <c r="D99" s="5" t="n">
        <f aca="false">SUMPRODUCT((Data!$A$2:$A$909=DATE(2026,7,21))*EXACT(Data!$B$2:$B$909,$A99)*EXACT(Data!$C$2:$C$909,$B99)*Data!$D$2:$D$909)</f>
        <v>34</v>
      </c>
      <c r="E99" s="5" t="n">
        <f aca="false">SUMPRODUCT((Data!$A$2:$A$909=DATE(2026,7,22))*EXACT(Data!$B$2:$B$909,$A99)*EXACT(Data!$C$2:$C$909,$B99)*Data!$D$2:$D$909)</f>
        <v>29</v>
      </c>
      <c r="F99" s="5" t="n">
        <f aca="false">SUMPRODUCT((Data!$A$2:$A$909=DATE(2026,7,23))*EXACT(Data!$B$2:$B$909,$A99)*EXACT(Data!$C$2:$C$909,$B99)*Data!$D$2:$D$909)</f>
        <v>32</v>
      </c>
      <c r="G99" s="5" t="n">
        <f aca="false">SUMPRODUCT((Data!$A$2:$A$909=DATE(2026,7,24))*EXACT(Data!$B$2:$B$909,$A99)*EXACT(Data!$C$2:$C$909,$B99)*Data!$D$2:$D$909)</f>
        <v>34</v>
      </c>
      <c r="H99" s="5" t="n">
        <f aca="false">SUMPRODUCT((Data!$A$2:$A$909=DATE(2026,7,25))*EXACT(Data!$B$2:$B$909,$A99)*EXACT(Data!$C$2:$C$909,$B99)*Data!$D$2:$D$909)</f>
        <v>4</v>
      </c>
      <c r="I99" s="5" t="n">
        <f aca="false">SUMPRODUCT((Data!$A$2:$A$909=DATE(2026,7,26))*EXACT(Data!$B$2:$B$909,$A99)*EXACT(Data!$C$2:$C$909,$B99)*Data!$D$2:$D$909)</f>
        <v>1</v>
      </c>
      <c r="J99" s="6" t="n">
        <f aca="false">SUM(C99:I99)</f>
        <v>165</v>
      </c>
      <c r="K99" s="7" t="n">
        <f aca="false">IF(C99=0,"",(I99-C99)/C99)</f>
        <v>-0.967741935483871</v>
      </c>
    </row>
    <row r="100" customFormat="false" ht="15" hidden="false" customHeight="false" outlineLevel="0" collapsed="false">
      <c r="A100" s="3" t="s">
        <v>84</v>
      </c>
      <c r="B100" s="3" t="s">
        <v>11</v>
      </c>
      <c r="C100" s="5" t="n">
        <f aca="false">SUMPRODUCT((Data!$A$2:$A$909=DATE(2026,7,20))*EXACT(Data!$B$2:$B$909,$A100)*EXACT(Data!$C$2:$C$909,$B100)*Data!$D$2:$D$909)</f>
        <v>9888</v>
      </c>
      <c r="D100" s="5" t="n">
        <f aca="false">SUMPRODUCT((Data!$A$2:$A$909=DATE(2026,7,21))*EXACT(Data!$B$2:$B$909,$A100)*EXACT(Data!$C$2:$C$909,$B100)*Data!$D$2:$D$909)</f>
        <v>11688</v>
      </c>
      <c r="E100" s="5" t="n">
        <f aca="false">SUMPRODUCT((Data!$A$2:$A$909=DATE(2026,7,22))*EXACT(Data!$B$2:$B$909,$A100)*EXACT(Data!$C$2:$C$909,$B100)*Data!$D$2:$D$909)</f>
        <v>13396</v>
      </c>
      <c r="F100" s="5" t="n">
        <f aca="false">SUMPRODUCT((Data!$A$2:$A$909=DATE(2026,7,23))*EXACT(Data!$B$2:$B$909,$A100)*EXACT(Data!$C$2:$C$909,$B100)*Data!$D$2:$D$909)</f>
        <v>12619</v>
      </c>
      <c r="G100" s="5" t="n">
        <f aca="false">SUMPRODUCT((Data!$A$2:$A$909=DATE(2026,7,24))*EXACT(Data!$B$2:$B$909,$A100)*EXACT(Data!$C$2:$C$909,$B100)*Data!$D$2:$D$909)</f>
        <v>10658</v>
      </c>
      <c r="H100" s="5" t="n">
        <f aca="false">SUMPRODUCT((Data!$A$2:$A$909=DATE(2026,7,25))*EXACT(Data!$B$2:$B$909,$A100)*EXACT(Data!$C$2:$C$909,$B100)*Data!$D$2:$D$909)</f>
        <v>2364</v>
      </c>
      <c r="I100" s="5" t="n">
        <f aca="false">SUMPRODUCT((Data!$A$2:$A$909=DATE(2026,7,26))*EXACT(Data!$B$2:$B$909,$A100)*EXACT(Data!$C$2:$C$909,$B100)*Data!$D$2:$D$909)</f>
        <v>2580</v>
      </c>
      <c r="J100" s="6" t="n">
        <f aca="false">SUM(C100:I100)</f>
        <v>63193</v>
      </c>
      <c r="K100" s="7" t="n">
        <f aca="false">IF(C100=0,"",(I100-C100)/C100)</f>
        <v>-0.739077669902913</v>
      </c>
    </row>
    <row r="101" customFormat="false" ht="15" hidden="false" customHeight="false" outlineLevel="0" collapsed="false">
      <c r="A101" s="3" t="s">
        <v>85</v>
      </c>
      <c r="B101" s="3" t="s">
        <v>86</v>
      </c>
      <c r="C101" s="5" t="n">
        <f aca="false">SUMPRODUCT((Data!$A$2:$A$909=DATE(2026,7,20))*EXACT(Data!$B$2:$B$909,$A101)*EXACT(Data!$C$2:$C$909,$B101)*Data!$D$2:$D$909)</f>
        <v>2</v>
      </c>
      <c r="D101" s="5" t="n">
        <f aca="false">SUMPRODUCT((Data!$A$2:$A$909=DATE(2026,7,21))*EXACT(Data!$B$2:$B$909,$A101)*EXACT(Data!$C$2:$C$909,$B101)*Data!$D$2:$D$909)</f>
        <v>0</v>
      </c>
      <c r="E101" s="5" t="n">
        <f aca="false">SUMPRODUCT((Data!$A$2:$A$909=DATE(2026,7,22))*EXACT(Data!$B$2:$B$909,$A101)*EXACT(Data!$C$2:$C$909,$B101)*Data!$D$2:$D$909)</f>
        <v>0</v>
      </c>
      <c r="F101" s="5" t="n">
        <f aca="false">SUMPRODUCT((Data!$A$2:$A$909=DATE(2026,7,23))*EXACT(Data!$B$2:$B$909,$A101)*EXACT(Data!$C$2:$C$909,$B101)*Data!$D$2:$D$909)</f>
        <v>0</v>
      </c>
      <c r="G101" s="5" t="n">
        <f aca="false">SUMPRODUCT((Data!$A$2:$A$909=DATE(2026,7,24))*EXACT(Data!$B$2:$B$909,$A101)*EXACT(Data!$C$2:$C$909,$B101)*Data!$D$2:$D$909)</f>
        <v>0</v>
      </c>
      <c r="H101" s="5" t="n">
        <f aca="false">SUMPRODUCT((Data!$A$2:$A$909=DATE(2026,7,25))*EXACT(Data!$B$2:$B$909,$A101)*EXACT(Data!$C$2:$C$909,$B101)*Data!$D$2:$D$909)</f>
        <v>0</v>
      </c>
      <c r="I101" s="5" t="n">
        <f aca="false">SUMPRODUCT((Data!$A$2:$A$909=DATE(2026,7,26))*EXACT(Data!$B$2:$B$909,$A101)*EXACT(Data!$C$2:$C$909,$B101)*Data!$D$2:$D$909)</f>
        <v>0</v>
      </c>
      <c r="J101" s="6" t="n">
        <f aca="false">SUM(C101:I101)</f>
        <v>2</v>
      </c>
      <c r="K101" s="7" t="n">
        <f aca="false">IF(C101=0,"",(I101-C101)/C101)</f>
        <v>-1</v>
      </c>
    </row>
    <row r="102" customFormat="false" ht="15" hidden="false" customHeight="false" outlineLevel="0" collapsed="false">
      <c r="A102" s="3" t="s">
        <v>85</v>
      </c>
      <c r="B102" s="3" t="s">
        <v>108</v>
      </c>
      <c r="C102" s="5" t="n">
        <f aca="false">SUMPRODUCT((Data!$A$2:$A$909=DATE(2026,7,20))*EXACT(Data!$B$2:$B$909,$A102)*EXACT(Data!$C$2:$C$909,$B102)*Data!$D$2:$D$909)</f>
        <v>0</v>
      </c>
      <c r="D102" s="5" t="n">
        <f aca="false">SUMPRODUCT((Data!$A$2:$A$909=DATE(2026,7,21))*EXACT(Data!$B$2:$B$909,$A102)*EXACT(Data!$C$2:$C$909,$B102)*Data!$D$2:$D$909)</f>
        <v>1</v>
      </c>
      <c r="E102" s="5" t="n">
        <f aca="false">SUMPRODUCT((Data!$A$2:$A$909=DATE(2026,7,22))*EXACT(Data!$B$2:$B$909,$A102)*EXACT(Data!$C$2:$C$909,$B102)*Data!$D$2:$D$909)</f>
        <v>0</v>
      </c>
      <c r="F102" s="5" t="n">
        <f aca="false">SUMPRODUCT((Data!$A$2:$A$909=DATE(2026,7,23))*EXACT(Data!$B$2:$B$909,$A102)*EXACT(Data!$C$2:$C$909,$B102)*Data!$D$2:$D$909)</f>
        <v>0</v>
      </c>
      <c r="G102" s="5" t="n">
        <f aca="false">SUMPRODUCT((Data!$A$2:$A$909=DATE(2026,7,24))*EXACT(Data!$B$2:$B$909,$A102)*EXACT(Data!$C$2:$C$909,$B102)*Data!$D$2:$D$909)</f>
        <v>0</v>
      </c>
      <c r="H102" s="5" t="n">
        <f aca="false">SUMPRODUCT((Data!$A$2:$A$909=DATE(2026,7,25))*EXACT(Data!$B$2:$B$909,$A102)*EXACT(Data!$C$2:$C$909,$B102)*Data!$D$2:$D$909)</f>
        <v>0</v>
      </c>
      <c r="I102" s="5" t="n">
        <f aca="false">SUMPRODUCT((Data!$A$2:$A$909=DATE(2026,7,26))*EXACT(Data!$B$2:$B$909,$A102)*EXACT(Data!$C$2:$C$909,$B102)*Data!$D$2:$D$909)</f>
        <v>0</v>
      </c>
      <c r="J102" s="6" t="n">
        <f aca="false">SUM(C102:I102)</f>
        <v>1</v>
      </c>
      <c r="K102" s="7" t="str">
        <f aca="false">IF(C102=0,"",(I102-C102)/C102)</f>
        <v/>
      </c>
    </row>
    <row r="103" customFormat="false" ht="15" hidden="false" customHeight="false" outlineLevel="0" collapsed="false">
      <c r="A103" s="3" t="s">
        <v>85</v>
      </c>
      <c r="B103" s="3" t="s">
        <v>87</v>
      </c>
      <c r="C103" s="5" t="n">
        <f aca="false">SUMPRODUCT((Data!$A$2:$A$909=DATE(2026,7,20))*EXACT(Data!$B$2:$B$909,$A103)*EXACT(Data!$C$2:$C$909,$B103)*Data!$D$2:$D$909)</f>
        <v>3</v>
      </c>
      <c r="D103" s="5" t="n">
        <f aca="false">SUMPRODUCT((Data!$A$2:$A$909=DATE(2026,7,21))*EXACT(Data!$B$2:$B$909,$A103)*EXACT(Data!$C$2:$C$909,$B103)*Data!$D$2:$D$909)</f>
        <v>0</v>
      </c>
      <c r="E103" s="5" t="n">
        <f aca="false">SUMPRODUCT((Data!$A$2:$A$909=DATE(2026,7,22))*EXACT(Data!$B$2:$B$909,$A103)*EXACT(Data!$C$2:$C$909,$B103)*Data!$D$2:$D$909)</f>
        <v>0</v>
      </c>
      <c r="F103" s="5" t="n">
        <f aca="false">SUMPRODUCT((Data!$A$2:$A$909=DATE(2026,7,23))*EXACT(Data!$B$2:$B$909,$A103)*EXACT(Data!$C$2:$C$909,$B103)*Data!$D$2:$D$909)</f>
        <v>0</v>
      </c>
      <c r="G103" s="5" t="n">
        <f aca="false">SUMPRODUCT((Data!$A$2:$A$909=DATE(2026,7,24))*EXACT(Data!$B$2:$B$909,$A103)*EXACT(Data!$C$2:$C$909,$B103)*Data!$D$2:$D$909)</f>
        <v>0</v>
      </c>
      <c r="H103" s="5" t="n">
        <f aca="false">SUMPRODUCT((Data!$A$2:$A$909=DATE(2026,7,25))*EXACT(Data!$B$2:$B$909,$A103)*EXACT(Data!$C$2:$C$909,$B103)*Data!$D$2:$D$909)</f>
        <v>0</v>
      </c>
      <c r="I103" s="5" t="n">
        <f aca="false">SUMPRODUCT((Data!$A$2:$A$909=DATE(2026,7,26))*EXACT(Data!$B$2:$B$909,$A103)*EXACT(Data!$C$2:$C$909,$B103)*Data!$D$2:$D$909)</f>
        <v>0</v>
      </c>
      <c r="J103" s="6" t="n">
        <f aca="false">SUM(C103:I103)</f>
        <v>3</v>
      </c>
      <c r="K103" s="7" t="n">
        <f aca="false">IF(C103=0,"",(I103-C103)/C103)</f>
        <v>-1</v>
      </c>
    </row>
    <row r="104" customFormat="false" ht="15" hidden="false" customHeight="false" outlineLevel="0" collapsed="false">
      <c r="A104" s="3" t="s">
        <v>85</v>
      </c>
      <c r="B104" s="3" t="s">
        <v>88</v>
      </c>
      <c r="C104" s="5" t="n">
        <f aca="false">SUMPRODUCT((Data!$A$2:$A$909=DATE(2026,7,20))*EXACT(Data!$B$2:$B$909,$A104)*EXACT(Data!$C$2:$C$909,$B104)*Data!$D$2:$D$909)</f>
        <v>1</v>
      </c>
      <c r="D104" s="5" t="n">
        <f aca="false">SUMPRODUCT((Data!$A$2:$A$909=DATE(2026,7,21))*EXACT(Data!$B$2:$B$909,$A104)*EXACT(Data!$C$2:$C$909,$B104)*Data!$D$2:$D$909)</f>
        <v>1</v>
      </c>
      <c r="E104" s="5" t="n">
        <f aca="false">SUMPRODUCT((Data!$A$2:$A$909=DATE(2026,7,22))*EXACT(Data!$B$2:$B$909,$A104)*EXACT(Data!$C$2:$C$909,$B104)*Data!$D$2:$D$909)</f>
        <v>0</v>
      </c>
      <c r="F104" s="5" t="n">
        <f aca="false">SUMPRODUCT((Data!$A$2:$A$909=DATE(2026,7,23))*EXACT(Data!$B$2:$B$909,$A104)*EXACT(Data!$C$2:$C$909,$B104)*Data!$D$2:$D$909)</f>
        <v>0</v>
      </c>
      <c r="G104" s="5" t="n">
        <f aca="false">SUMPRODUCT((Data!$A$2:$A$909=DATE(2026,7,24))*EXACT(Data!$B$2:$B$909,$A104)*EXACT(Data!$C$2:$C$909,$B104)*Data!$D$2:$D$909)</f>
        <v>0</v>
      </c>
      <c r="H104" s="5" t="n">
        <f aca="false">SUMPRODUCT((Data!$A$2:$A$909=DATE(2026,7,25))*EXACT(Data!$B$2:$B$909,$A104)*EXACT(Data!$C$2:$C$909,$B104)*Data!$D$2:$D$909)</f>
        <v>0</v>
      </c>
      <c r="I104" s="5" t="n">
        <f aca="false">SUMPRODUCT((Data!$A$2:$A$909=DATE(2026,7,26))*EXACT(Data!$B$2:$B$909,$A104)*EXACT(Data!$C$2:$C$909,$B104)*Data!$D$2:$D$909)</f>
        <v>0</v>
      </c>
      <c r="J104" s="6" t="n">
        <f aca="false">SUM(C104:I104)</f>
        <v>2</v>
      </c>
      <c r="K104" s="7" t="n">
        <f aca="false">IF(C104=0,"",(I104-C104)/C104)</f>
        <v>-1</v>
      </c>
    </row>
    <row r="105" customFormat="false" ht="15" hidden="false" customHeight="false" outlineLevel="0" collapsed="false">
      <c r="A105" s="3" t="s">
        <v>85</v>
      </c>
      <c r="B105" s="3" t="s">
        <v>89</v>
      </c>
      <c r="C105" s="5" t="n">
        <f aca="false">SUMPRODUCT((Data!$A$2:$A$909=DATE(2026,7,20))*EXACT(Data!$B$2:$B$909,$A105)*EXACT(Data!$C$2:$C$909,$B105)*Data!$D$2:$D$909)</f>
        <v>1</v>
      </c>
      <c r="D105" s="5" t="n">
        <f aca="false">SUMPRODUCT((Data!$A$2:$A$909=DATE(2026,7,21))*EXACT(Data!$B$2:$B$909,$A105)*EXACT(Data!$C$2:$C$909,$B105)*Data!$D$2:$D$909)</f>
        <v>0</v>
      </c>
      <c r="E105" s="5" t="n">
        <f aca="false">SUMPRODUCT((Data!$A$2:$A$909=DATE(2026,7,22))*EXACT(Data!$B$2:$B$909,$A105)*EXACT(Data!$C$2:$C$909,$B105)*Data!$D$2:$D$909)</f>
        <v>0</v>
      </c>
      <c r="F105" s="5" t="n">
        <f aca="false">SUMPRODUCT((Data!$A$2:$A$909=DATE(2026,7,23))*EXACT(Data!$B$2:$B$909,$A105)*EXACT(Data!$C$2:$C$909,$B105)*Data!$D$2:$D$909)</f>
        <v>0</v>
      </c>
      <c r="G105" s="5" t="n">
        <f aca="false">SUMPRODUCT((Data!$A$2:$A$909=DATE(2026,7,24))*EXACT(Data!$B$2:$B$909,$A105)*EXACT(Data!$C$2:$C$909,$B105)*Data!$D$2:$D$909)</f>
        <v>0</v>
      </c>
      <c r="H105" s="5" t="n">
        <f aca="false">SUMPRODUCT((Data!$A$2:$A$909=DATE(2026,7,25))*EXACT(Data!$B$2:$B$909,$A105)*EXACT(Data!$C$2:$C$909,$B105)*Data!$D$2:$D$909)</f>
        <v>0</v>
      </c>
      <c r="I105" s="5" t="n">
        <f aca="false">SUMPRODUCT((Data!$A$2:$A$909=DATE(2026,7,26))*EXACT(Data!$B$2:$B$909,$A105)*EXACT(Data!$C$2:$C$909,$B105)*Data!$D$2:$D$909)</f>
        <v>0</v>
      </c>
      <c r="J105" s="6" t="n">
        <f aca="false">SUM(C105:I105)</f>
        <v>1</v>
      </c>
      <c r="K105" s="7" t="n">
        <f aca="false">IF(C105=0,"",(I105-C105)/C105)</f>
        <v>-1</v>
      </c>
    </row>
    <row r="106" customFormat="false" ht="15" hidden="false" customHeight="false" outlineLevel="0" collapsed="false">
      <c r="A106" s="3" t="s">
        <v>85</v>
      </c>
      <c r="B106" s="3" t="s">
        <v>90</v>
      </c>
      <c r="C106" s="5" t="n">
        <f aca="false">SUMPRODUCT((Data!$A$2:$A$909=DATE(2026,7,20))*EXACT(Data!$B$2:$B$909,$A106)*EXACT(Data!$C$2:$C$909,$B106)*Data!$D$2:$D$909)</f>
        <v>1</v>
      </c>
      <c r="D106" s="5" t="n">
        <f aca="false">SUMPRODUCT((Data!$A$2:$A$909=DATE(2026,7,21))*EXACT(Data!$B$2:$B$909,$A106)*EXACT(Data!$C$2:$C$909,$B106)*Data!$D$2:$D$909)</f>
        <v>0</v>
      </c>
      <c r="E106" s="5" t="n">
        <f aca="false">SUMPRODUCT((Data!$A$2:$A$909=DATE(2026,7,22))*EXACT(Data!$B$2:$B$909,$A106)*EXACT(Data!$C$2:$C$909,$B106)*Data!$D$2:$D$909)</f>
        <v>0</v>
      </c>
      <c r="F106" s="5" t="n">
        <f aca="false">SUMPRODUCT((Data!$A$2:$A$909=DATE(2026,7,23))*EXACT(Data!$B$2:$B$909,$A106)*EXACT(Data!$C$2:$C$909,$B106)*Data!$D$2:$D$909)</f>
        <v>0</v>
      </c>
      <c r="G106" s="5" t="n">
        <f aca="false">SUMPRODUCT((Data!$A$2:$A$909=DATE(2026,7,24))*EXACT(Data!$B$2:$B$909,$A106)*EXACT(Data!$C$2:$C$909,$B106)*Data!$D$2:$D$909)</f>
        <v>0</v>
      </c>
      <c r="H106" s="5" t="n">
        <f aca="false">SUMPRODUCT((Data!$A$2:$A$909=DATE(2026,7,25))*EXACT(Data!$B$2:$B$909,$A106)*EXACT(Data!$C$2:$C$909,$B106)*Data!$D$2:$D$909)</f>
        <v>0</v>
      </c>
      <c r="I106" s="5" t="n">
        <f aca="false">SUMPRODUCT((Data!$A$2:$A$909=DATE(2026,7,26))*EXACT(Data!$B$2:$B$909,$A106)*EXACT(Data!$C$2:$C$909,$B106)*Data!$D$2:$D$909)</f>
        <v>0</v>
      </c>
      <c r="J106" s="6" t="n">
        <f aca="false">SUM(C106:I106)</f>
        <v>1</v>
      </c>
      <c r="K106" s="7" t="n">
        <f aca="false">IF(C106=0,"",(I106-C106)/C106)</f>
        <v>-1</v>
      </c>
    </row>
    <row r="107" customFormat="false" ht="15" hidden="false" customHeight="false" outlineLevel="0" collapsed="false">
      <c r="A107" s="3" t="s">
        <v>85</v>
      </c>
      <c r="B107" s="3" t="s">
        <v>109</v>
      </c>
      <c r="C107" s="5" t="n">
        <f aca="false">SUMPRODUCT((Data!$A$2:$A$909=DATE(2026,7,20))*EXACT(Data!$B$2:$B$909,$A107)*EXACT(Data!$C$2:$C$909,$B107)*Data!$D$2:$D$909)</f>
        <v>0</v>
      </c>
      <c r="D107" s="5" t="n">
        <f aca="false">SUMPRODUCT((Data!$A$2:$A$909=DATE(2026,7,21))*EXACT(Data!$B$2:$B$909,$A107)*EXACT(Data!$C$2:$C$909,$B107)*Data!$D$2:$D$909)</f>
        <v>1</v>
      </c>
      <c r="E107" s="5" t="n">
        <f aca="false">SUMPRODUCT((Data!$A$2:$A$909=DATE(2026,7,22))*EXACT(Data!$B$2:$B$909,$A107)*EXACT(Data!$C$2:$C$909,$B107)*Data!$D$2:$D$909)</f>
        <v>0</v>
      </c>
      <c r="F107" s="5" t="n">
        <f aca="false">SUMPRODUCT((Data!$A$2:$A$909=DATE(2026,7,23))*EXACT(Data!$B$2:$B$909,$A107)*EXACT(Data!$C$2:$C$909,$B107)*Data!$D$2:$D$909)</f>
        <v>0</v>
      </c>
      <c r="G107" s="5" t="n">
        <f aca="false">SUMPRODUCT((Data!$A$2:$A$909=DATE(2026,7,24))*EXACT(Data!$B$2:$B$909,$A107)*EXACT(Data!$C$2:$C$909,$B107)*Data!$D$2:$D$909)</f>
        <v>0</v>
      </c>
      <c r="H107" s="5" t="n">
        <f aca="false">SUMPRODUCT((Data!$A$2:$A$909=DATE(2026,7,25))*EXACT(Data!$B$2:$B$909,$A107)*EXACT(Data!$C$2:$C$909,$B107)*Data!$D$2:$D$909)</f>
        <v>0</v>
      </c>
      <c r="I107" s="5" t="n">
        <f aca="false">SUMPRODUCT((Data!$A$2:$A$909=DATE(2026,7,26))*EXACT(Data!$B$2:$B$909,$A107)*EXACT(Data!$C$2:$C$909,$B107)*Data!$D$2:$D$909)</f>
        <v>0</v>
      </c>
      <c r="J107" s="6" t="n">
        <f aca="false">SUM(C107:I107)</f>
        <v>1</v>
      </c>
      <c r="K107" s="7" t="str">
        <f aca="false">IF(C107=0,"",(I107-C107)/C107)</f>
        <v/>
      </c>
    </row>
    <row r="108" customFormat="false" ht="15" hidden="false" customHeight="false" outlineLevel="0" collapsed="false">
      <c r="A108" s="3" t="s">
        <v>85</v>
      </c>
      <c r="B108" s="3" t="s">
        <v>91</v>
      </c>
      <c r="C108" s="5" t="n">
        <f aca="false">SUMPRODUCT((Data!$A$2:$A$909=DATE(2026,7,20))*EXACT(Data!$B$2:$B$909,$A108)*EXACT(Data!$C$2:$C$909,$B108)*Data!$D$2:$D$909)</f>
        <v>3</v>
      </c>
      <c r="D108" s="5" t="n">
        <f aca="false">SUMPRODUCT((Data!$A$2:$A$909=DATE(2026,7,21))*EXACT(Data!$B$2:$B$909,$A108)*EXACT(Data!$C$2:$C$909,$B108)*Data!$D$2:$D$909)</f>
        <v>0</v>
      </c>
      <c r="E108" s="5" t="n">
        <f aca="false">SUMPRODUCT((Data!$A$2:$A$909=DATE(2026,7,22))*EXACT(Data!$B$2:$B$909,$A108)*EXACT(Data!$C$2:$C$909,$B108)*Data!$D$2:$D$909)</f>
        <v>0</v>
      </c>
      <c r="F108" s="5" t="n">
        <f aca="false">SUMPRODUCT((Data!$A$2:$A$909=DATE(2026,7,23))*EXACT(Data!$B$2:$B$909,$A108)*EXACT(Data!$C$2:$C$909,$B108)*Data!$D$2:$D$909)</f>
        <v>0</v>
      </c>
      <c r="G108" s="5" t="n">
        <f aca="false">SUMPRODUCT((Data!$A$2:$A$909=DATE(2026,7,24))*EXACT(Data!$B$2:$B$909,$A108)*EXACT(Data!$C$2:$C$909,$B108)*Data!$D$2:$D$909)</f>
        <v>0</v>
      </c>
      <c r="H108" s="5" t="n">
        <f aca="false">SUMPRODUCT((Data!$A$2:$A$909=DATE(2026,7,25))*EXACT(Data!$B$2:$B$909,$A108)*EXACT(Data!$C$2:$C$909,$B108)*Data!$D$2:$D$909)</f>
        <v>0</v>
      </c>
      <c r="I108" s="5" t="n">
        <f aca="false">SUMPRODUCT((Data!$A$2:$A$909=DATE(2026,7,26))*EXACT(Data!$B$2:$B$909,$A108)*EXACT(Data!$C$2:$C$909,$B108)*Data!$D$2:$D$909)</f>
        <v>0</v>
      </c>
      <c r="J108" s="6" t="n">
        <f aca="false">SUM(C108:I108)</f>
        <v>3</v>
      </c>
      <c r="K108" s="7" t="n">
        <f aca="false">IF(C108=0,"",(I108-C108)/C108)</f>
        <v>-1</v>
      </c>
    </row>
    <row r="109" customFormat="false" ht="15" hidden="false" customHeight="false" outlineLevel="0" collapsed="false">
      <c r="A109" s="3" t="s">
        <v>92</v>
      </c>
      <c r="B109" s="3" t="s">
        <v>40</v>
      </c>
      <c r="C109" s="5" t="n">
        <f aca="false">SUMPRODUCT((Data!$A$2:$A$909=DATE(2026,7,20))*EXACT(Data!$B$2:$B$909,$A109)*EXACT(Data!$C$2:$C$909,$B109)*Data!$D$2:$D$909)</f>
        <v>10</v>
      </c>
      <c r="D109" s="5" t="n">
        <f aca="false">SUMPRODUCT((Data!$A$2:$A$909=DATE(2026,7,21))*EXACT(Data!$B$2:$B$909,$A109)*EXACT(Data!$C$2:$C$909,$B109)*Data!$D$2:$D$909)</f>
        <v>11</v>
      </c>
      <c r="E109" s="5" t="n">
        <f aca="false">SUMPRODUCT((Data!$A$2:$A$909=DATE(2026,7,22))*EXACT(Data!$B$2:$B$909,$A109)*EXACT(Data!$C$2:$C$909,$B109)*Data!$D$2:$D$909)</f>
        <v>12</v>
      </c>
      <c r="F109" s="5" t="n">
        <f aca="false">SUMPRODUCT((Data!$A$2:$A$909=DATE(2026,7,23))*EXACT(Data!$B$2:$B$909,$A109)*EXACT(Data!$C$2:$C$909,$B109)*Data!$D$2:$D$909)</f>
        <v>4</v>
      </c>
      <c r="G109" s="5" t="n">
        <f aca="false">SUMPRODUCT((Data!$A$2:$A$909=DATE(2026,7,24))*EXACT(Data!$B$2:$B$909,$A109)*EXACT(Data!$C$2:$C$909,$B109)*Data!$D$2:$D$909)</f>
        <v>6</v>
      </c>
      <c r="H109" s="5" t="n">
        <f aca="false">SUMPRODUCT((Data!$A$2:$A$909=DATE(2026,7,25))*EXACT(Data!$B$2:$B$909,$A109)*EXACT(Data!$C$2:$C$909,$B109)*Data!$D$2:$D$909)</f>
        <v>2</v>
      </c>
      <c r="I109" s="5" t="n">
        <f aca="false">SUMPRODUCT((Data!$A$2:$A$909=DATE(2026,7,26))*EXACT(Data!$B$2:$B$909,$A109)*EXACT(Data!$C$2:$C$909,$B109)*Data!$D$2:$D$909)</f>
        <v>0</v>
      </c>
      <c r="J109" s="6" t="n">
        <f aca="false">SUM(C109:I109)</f>
        <v>45</v>
      </c>
      <c r="K109" s="7" t="n">
        <f aca="false">IF(C109=0,"",(I109-C109)/C109)</f>
        <v>-1</v>
      </c>
    </row>
    <row r="110" customFormat="false" ht="15" hidden="false" customHeight="false" outlineLevel="0" collapsed="false">
      <c r="A110" s="3" t="s">
        <v>92</v>
      </c>
      <c r="B110" s="3" t="s">
        <v>11</v>
      </c>
      <c r="C110" s="5" t="n">
        <f aca="false">SUMPRODUCT((Data!$A$2:$A$909=DATE(2026,7,20))*EXACT(Data!$B$2:$B$909,$A110)*EXACT(Data!$C$2:$C$909,$B110)*Data!$D$2:$D$909)</f>
        <v>1</v>
      </c>
      <c r="D110" s="5" t="n">
        <f aca="false">SUMPRODUCT((Data!$A$2:$A$909=DATE(2026,7,21))*EXACT(Data!$B$2:$B$909,$A110)*EXACT(Data!$C$2:$C$909,$B110)*Data!$D$2:$D$909)</f>
        <v>1</v>
      </c>
      <c r="E110" s="5" t="n">
        <f aca="false">SUMPRODUCT((Data!$A$2:$A$909=DATE(2026,7,22))*EXACT(Data!$B$2:$B$909,$A110)*EXACT(Data!$C$2:$C$909,$B110)*Data!$D$2:$D$909)</f>
        <v>1</v>
      </c>
      <c r="F110" s="5" t="n">
        <f aca="false">SUMPRODUCT((Data!$A$2:$A$909=DATE(2026,7,23))*EXACT(Data!$B$2:$B$909,$A110)*EXACT(Data!$C$2:$C$909,$B110)*Data!$D$2:$D$909)</f>
        <v>1</v>
      </c>
      <c r="G110" s="5" t="n">
        <f aca="false">SUMPRODUCT((Data!$A$2:$A$909=DATE(2026,7,24))*EXACT(Data!$B$2:$B$909,$A110)*EXACT(Data!$C$2:$C$909,$B110)*Data!$D$2:$D$909)</f>
        <v>1</v>
      </c>
      <c r="H110" s="5" t="n">
        <f aca="false">SUMPRODUCT((Data!$A$2:$A$909=DATE(2026,7,25))*EXACT(Data!$B$2:$B$909,$A110)*EXACT(Data!$C$2:$C$909,$B110)*Data!$D$2:$D$909)</f>
        <v>1</v>
      </c>
      <c r="I110" s="5" t="n">
        <f aca="false">SUMPRODUCT((Data!$A$2:$A$909=DATE(2026,7,26))*EXACT(Data!$B$2:$B$909,$A110)*EXACT(Data!$C$2:$C$909,$B110)*Data!$D$2:$D$909)</f>
        <v>0</v>
      </c>
      <c r="J110" s="6" t="n">
        <f aca="false">SUM(C110:I110)</f>
        <v>6</v>
      </c>
      <c r="K110" s="7" t="n">
        <f aca="false">IF(C110=0,"",(I110-C110)/C110)</f>
        <v>-1</v>
      </c>
    </row>
    <row r="111" customFormat="false" ht="15" hidden="false" customHeight="false" outlineLevel="0" collapsed="false">
      <c r="A111" s="3" t="s">
        <v>93</v>
      </c>
      <c r="B111" s="3" t="s">
        <v>9</v>
      </c>
      <c r="C111" s="5" t="n">
        <f aca="false">SUMPRODUCT((Data!$A$2:$A$909=DATE(2026,7,20))*EXACT(Data!$B$2:$B$909,$A111)*EXACT(Data!$C$2:$C$909,$B111)*Data!$D$2:$D$909)</f>
        <v>10</v>
      </c>
      <c r="D111" s="5" t="n">
        <f aca="false">SUMPRODUCT((Data!$A$2:$A$909=DATE(2026,7,21))*EXACT(Data!$B$2:$B$909,$A111)*EXACT(Data!$C$2:$C$909,$B111)*Data!$D$2:$D$909)</f>
        <v>3</v>
      </c>
      <c r="E111" s="5" t="n">
        <f aca="false">SUMPRODUCT((Data!$A$2:$A$909=DATE(2026,7,22))*EXACT(Data!$B$2:$B$909,$A111)*EXACT(Data!$C$2:$C$909,$B111)*Data!$D$2:$D$909)</f>
        <v>9</v>
      </c>
      <c r="F111" s="5" t="n">
        <f aca="false">SUMPRODUCT((Data!$A$2:$A$909=DATE(2026,7,23))*EXACT(Data!$B$2:$B$909,$A111)*EXACT(Data!$C$2:$C$909,$B111)*Data!$D$2:$D$909)</f>
        <v>7</v>
      </c>
      <c r="G111" s="5" t="n">
        <f aca="false">SUMPRODUCT((Data!$A$2:$A$909=DATE(2026,7,24))*EXACT(Data!$B$2:$B$909,$A111)*EXACT(Data!$C$2:$C$909,$B111)*Data!$D$2:$D$909)</f>
        <v>7</v>
      </c>
      <c r="H111" s="5" t="n">
        <f aca="false">SUMPRODUCT((Data!$A$2:$A$909=DATE(2026,7,25))*EXACT(Data!$B$2:$B$909,$A111)*EXACT(Data!$C$2:$C$909,$B111)*Data!$D$2:$D$909)</f>
        <v>9</v>
      </c>
      <c r="I111" s="5" t="n">
        <f aca="false">SUMPRODUCT((Data!$A$2:$A$909=DATE(2026,7,26))*EXACT(Data!$B$2:$B$909,$A111)*EXACT(Data!$C$2:$C$909,$B111)*Data!$D$2:$D$909)</f>
        <v>9</v>
      </c>
      <c r="J111" s="6" t="n">
        <f aca="false">SUM(C111:I111)</f>
        <v>54</v>
      </c>
      <c r="K111" s="7" t="n">
        <f aca="false">IF(C111=0,"",(I111-C111)/C111)</f>
        <v>-0.1</v>
      </c>
    </row>
    <row r="112" customFormat="false" ht="15" hidden="false" customHeight="false" outlineLevel="0" collapsed="false">
      <c r="A112" s="3" t="s">
        <v>94</v>
      </c>
      <c r="B112" s="3" t="s">
        <v>11</v>
      </c>
      <c r="C112" s="5" t="n">
        <f aca="false">SUMPRODUCT((Data!$A$2:$A$909=DATE(2026,7,20))*EXACT(Data!$B$2:$B$909,$A112)*EXACT(Data!$C$2:$C$909,$B112)*Data!$D$2:$D$909)</f>
        <v>98</v>
      </c>
      <c r="D112" s="5" t="n">
        <f aca="false">SUMPRODUCT((Data!$A$2:$A$909=DATE(2026,7,21))*EXACT(Data!$B$2:$B$909,$A112)*EXACT(Data!$C$2:$C$909,$B112)*Data!$D$2:$D$909)</f>
        <v>38</v>
      </c>
      <c r="E112" s="5" t="n">
        <f aca="false">SUMPRODUCT((Data!$A$2:$A$909=DATE(2026,7,22))*EXACT(Data!$B$2:$B$909,$A112)*EXACT(Data!$C$2:$C$909,$B112)*Data!$D$2:$D$909)</f>
        <v>46</v>
      </c>
      <c r="F112" s="5" t="n">
        <f aca="false">SUMPRODUCT((Data!$A$2:$A$909=DATE(2026,7,23))*EXACT(Data!$B$2:$B$909,$A112)*EXACT(Data!$C$2:$C$909,$B112)*Data!$D$2:$D$909)</f>
        <v>89</v>
      </c>
      <c r="G112" s="5" t="n">
        <f aca="false">SUMPRODUCT((Data!$A$2:$A$909=DATE(2026,7,24))*EXACT(Data!$B$2:$B$909,$A112)*EXACT(Data!$C$2:$C$909,$B112)*Data!$D$2:$D$909)</f>
        <v>87</v>
      </c>
      <c r="H112" s="5" t="n">
        <f aca="false">SUMPRODUCT((Data!$A$2:$A$909=DATE(2026,7,25))*EXACT(Data!$B$2:$B$909,$A112)*EXACT(Data!$C$2:$C$909,$B112)*Data!$D$2:$D$909)</f>
        <v>0</v>
      </c>
      <c r="I112" s="5" t="n">
        <f aca="false">SUMPRODUCT((Data!$A$2:$A$909=DATE(2026,7,26))*EXACT(Data!$B$2:$B$909,$A112)*EXACT(Data!$C$2:$C$909,$B112)*Data!$D$2:$D$909)</f>
        <v>0</v>
      </c>
      <c r="J112" s="6" t="n">
        <f aca="false">SUM(C112:I112)</f>
        <v>358</v>
      </c>
      <c r="K112" s="7" t="n">
        <f aca="false">IF(C112=0,"",(I112-C112)/C112)</f>
        <v>-1</v>
      </c>
    </row>
    <row r="113" customFormat="false" ht="15" hidden="false" customHeight="false" outlineLevel="0" collapsed="false">
      <c r="A113" s="3" t="s">
        <v>114</v>
      </c>
      <c r="B113" s="3" t="s">
        <v>14</v>
      </c>
      <c r="C113" s="5" t="n">
        <f aca="false">SUMPRODUCT((Data!$A$2:$A$909=DATE(2026,7,20))*EXACT(Data!$B$2:$B$909,$A113)*EXACT(Data!$C$2:$C$909,$B113)*Data!$D$2:$D$909)</f>
        <v>0</v>
      </c>
      <c r="D113" s="5" t="n">
        <f aca="false">SUMPRODUCT((Data!$A$2:$A$909=DATE(2026,7,21))*EXACT(Data!$B$2:$B$909,$A113)*EXACT(Data!$C$2:$C$909,$B113)*Data!$D$2:$D$909)</f>
        <v>0</v>
      </c>
      <c r="E113" s="5" t="n">
        <f aca="false">SUMPRODUCT((Data!$A$2:$A$909=DATE(2026,7,22))*EXACT(Data!$B$2:$B$909,$A113)*EXACT(Data!$C$2:$C$909,$B113)*Data!$D$2:$D$909)</f>
        <v>0</v>
      </c>
      <c r="F113" s="5" t="n">
        <f aca="false">SUMPRODUCT((Data!$A$2:$A$909=DATE(2026,7,23))*EXACT(Data!$B$2:$B$909,$A113)*EXACT(Data!$C$2:$C$909,$B113)*Data!$D$2:$D$909)</f>
        <v>1</v>
      </c>
      <c r="G113" s="5" t="n">
        <f aca="false">SUMPRODUCT((Data!$A$2:$A$909=DATE(2026,7,24))*EXACT(Data!$B$2:$B$909,$A113)*EXACT(Data!$C$2:$C$909,$B113)*Data!$D$2:$D$909)</f>
        <v>2</v>
      </c>
      <c r="H113" s="5" t="n">
        <f aca="false">SUMPRODUCT((Data!$A$2:$A$909=DATE(2026,7,25))*EXACT(Data!$B$2:$B$909,$A113)*EXACT(Data!$C$2:$C$909,$B113)*Data!$D$2:$D$909)</f>
        <v>0</v>
      </c>
      <c r="I113" s="5" t="n">
        <f aca="false">SUMPRODUCT((Data!$A$2:$A$909=DATE(2026,7,26))*EXACT(Data!$B$2:$B$909,$A113)*EXACT(Data!$C$2:$C$909,$B113)*Data!$D$2:$D$909)</f>
        <v>0</v>
      </c>
      <c r="J113" s="6" t="n">
        <f aca="false">SUM(C113:I113)</f>
        <v>3</v>
      </c>
      <c r="K113" s="7" t="str">
        <f aca="false">IF(C113=0,"",(I113-C113)/C113)</f>
        <v/>
      </c>
    </row>
    <row r="114" customFormat="false" ht="15" hidden="false" customHeight="false" outlineLevel="0" collapsed="false">
      <c r="A114" s="3" t="s">
        <v>114</v>
      </c>
      <c r="B114" s="3" t="s">
        <v>38</v>
      </c>
      <c r="C114" s="5" t="n">
        <f aca="false">SUMPRODUCT((Data!$A$2:$A$909=DATE(2026,7,20))*EXACT(Data!$B$2:$B$909,$A114)*EXACT(Data!$C$2:$C$909,$B114)*Data!$D$2:$D$909)</f>
        <v>0</v>
      </c>
      <c r="D114" s="5" t="n">
        <f aca="false">SUMPRODUCT((Data!$A$2:$A$909=DATE(2026,7,21))*EXACT(Data!$B$2:$B$909,$A114)*EXACT(Data!$C$2:$C$909,$B114)*Data!$D$2:$D$909)</f>
        <v>0</v>
      </c>
      <c r="E114" s="5" t="n">
        <f aca="false">SUMPRODUCT((Data!$A$2:$A$909=DATE(2026,7,22))*EXACT(Data!$B$2:$B$909,$A114)*EXACT(Data!$C$2:$C$909,$B114)*Data!$D$2:$D$909)</f>
        <v>0</v>
      </c>
      <c r="F114" s="5" t="n">
        <f aca="false">SUMPRODUCT((Data!$A$2:$A$909=DATE(2026,7,23))*EXACT(Data!$B$2:$B$909,$A114)*EXACT(Data!$C$2:$C$909,$B114)*Data!$D$2:$D$909)</f>
        <v>1</v>
      </c>
      <c r="G114" s="5" t="n">
        <f aca="false">SUMPRODUCT((Data!$A$2:$A$909=DATE(2026,7,24))*EXACT(Data!$B$2:$B$909,$A114)*EXACT(Data!$C$2:$C$909,$B114)*Data!$D$2:$D$909)</f>
        <v>1</v>
      </c>
      <c r="H114" s="5" t="n">
        <f aca="false">SUMPRODUCT((Data!$A$2:$A$909=DATE(2026,7,25))*EXACT(Data!$B$2:$B$909,$A114)*EXACT(Data!$C$2:$C$909,$B114)*Data!$D$2:$D$909)</f>
        <v>0</v>
      </c>
      <c r="I114" s="5" t="n">
        <f aca="false">SUMPRODUCT((Data!$A$2:$A$909=DATE(2026,7,26))*EXACT(Data!$B$2:$B$909,$A114)*EXACT(Data!$C$2:$C$909,$B114)*Data!$D$2:$D$909)</f>
        <v>0</v>
      </c>
      <c r="J114" s="6" t="n">
        <f aca="false">SUM(C114:I114)</f>
        <v>2</v>
      </c>
      <c r="K114" s="7" t="str">
        <f aca="false">IF(C114=0,"",(I114-C114)/C114)</f>
        <v/>
      </c>
    </row>
    <row r="115" customFormat="false" ht="15" hidden="false" customHeight="false" outlineLevel="0" collapsed="false">
      <c r="A115" s="3" t="s">
        <v>114</v>
      </c>
      <c r="B115" s="3" t="s">
        <v>39</v>
      </c>
      <c r="C115" s="5" t="n">
        <f aca="false">SUMPRODUCT((Data!$A$2:$A$909=DATE(2026,7,20))*EXACT(Data!$B$2:$B$909,$A115)*EXACT(Data!$C$2:$C$909,$B115)*Data!$D$2:$D$909)</f>
        <v>0</v>
      </c>
      <c r="D115" s="5" t="n">
        <f aca="false">SUMPRODUCT((Data!$A$2:$A$909=DATE(2026,7,21))*EXACT(Data!$B$2:$B$909,$A115)*EXACT(Data!$C$2:$C$909,$B115)*Data!$D$2:$D$909)</f>
        <v>0</v>
      </c>
      <c r="E115" s="5" t="n">
        <f aca="false">SUMPRODUCT((Data!$A$2:$A$909=DATE(2026,7,22))*EXACT(Data!$B$2:$B$909,$A115)*EXACT(Data!$C$2:$C$909,$B115)*Data!$D$2:$D$909)</f>
        <v>0</v>
      </c>
      <c r="F115" s="5" t="n">
        <f aca="false">SUMPRODUCT((Data!$A$2:$A$909=DATE(2026,7,23))*EXACT(Data!$B$2:$B$909,$A115)*EXACT(Data!$C$2:$C$909,$B115)*Data!$D$2:$D$909)</f>
        <v>1</v>
      </c>
      <c r="G115" s="5" t="n">
        <f aca="false">SUMPRODUCT((Data!$A$2:$A$909=DATE(2026,7,24))*EXACT(Data!$B$2:$B$909,$A115)*EXACT(Data!$C$2:$C$909,$B115)*Data!$D$2:$D$909)</f>
        <v>1</v>
      </c>
      <c r="H115" s="5" t="n">
        <f aca="false">SUMPRODUCT((Data!$A$2:$A$909=DATE(2026,7,25))*EXACT(Data!$B$2:$B$909,$A115)*EXACT(Data!$C$2:$C$909,$B115)*Data!$D$2:$D$909)</f>
        <v>0</v>
      </c>
      <c r="I115" s="5" t="n">
        <f aca="false">SUMPRODUCT((Data!$A$2:$A$909=DATE(2026,7,26))*EXACT(Data!$B$2:$B$909,$A115)*EXACT(Data!$C$2:$C$909,$B115)*Data!$D$2:$D$909)</f>
        <v>0</v>
      </c>
      <c r="J115" s="6" t="n">
        <f aca="false">SUM(C115:I115)</f>
        <v>2</v>
      </c>
      <c r="K115" s="7" t="str">
        <f aca="false">IF(C115=0,"",(I115-C115)/C115)</f>
        <v/>
      </c>
    </row>
    <row r="116" customFormat="false" ht="15" hidden="false" customHeight="false" outlineLevel="0" collapsed="false">
      <c r="A116" s="3" t="s">
        <v>95</v>
      </c>
      <c r="B116" s="3" t="s">
        <v>11</v>
      </c>
      <c r="C116" s="5" t="n">
        <f aca="false">SUMPRODUCT((Data!$A$2:$A$909=DATE(2026,7,20))*EXACT(Data!$B$2:$B$909,$A116)*EXACT(Data!$C$2:$C$909,$B116)*Data!$D$2:$D$909)</f>
        <v>88</v>
      </c>
      <c r="D116" s="5" t="n">
        <f aca="false">SUMPRODUCT((Data!$A$2:$A$909=DATE(2026,7,21))*EXACT(Data!$B$2:$B$909,$A116)*EXACT(Data!$C$2:$C$909,$B116)*Data!$D$2:$D$909)</f>
        <v>96</v>
      </c>
      <c r="E116" s="5" t="n">
        <f aca="false">SUMPRODUCT((Data!$A$2:$A$909=DATE(2026,7,22))*EXACT(Data!$B$2:$B$909,$A116)*EXACT(Data!$C$2:$C$909,$B116)*Data!$D$2:$D$909)</f>
        <v>105</v>
      </c>
      <c r="F116" s="5" t="n">
        <f aca="false">SUMPRODUCT((Data!$A$2:$A$909=DATE(2026,7,23))*EXACT(Data!$B$2:$B$909,$A116)*EXACT(Data!$C$2:$C$909,$B116)*Data!$D$2:$D$909)</f>
        <v>133</v>
      </c>
      <c r="G116" s="5" t="n">
        <f aca="false">SUMPRODUCT((Data!$A$2:$A$909=DATE(2026,7,24))*EXACT(Data!$B$2:$B$909,$A116)*EXACT(Data!$C$2:$C$909,$B116)*Data!$D$2:$D$909)</f>
        <v>117</v>
      </c>
      <c r="H116" s="5" t="n">
        <f aca="false">SUMPRODUCT((Data!$A$2:$A$909=DATE(2026,7,25))*EXACT(Data!$B$2:$B$909,$A116)*EXACT(Data!$C$2:$C$909,$B116)*Data!$D$2:$D$909)</f>
        <v>3</v>
      </c>
      <c r="I116" s="5" t="n">
        <f aca="false">SUMPRODUCT((Data!$A$2:$A$909=DATE(2026,7,26))*EXACT(Data!$B$2:$B$909,$A116)*EXACT(Data!$C$2:$C$909,$B116)*Data!$D$2:$D$909)</f>
        <v>14</v>
      </c>
      <c r="J116" s="6" t="n">
        <f aca="false">SUM(C116:I116)</f>
        <v>556</v>
      </c>
      <c r="K116" s="7" t="n">
        <f aca="false">IF(C116=0,"",(I116-C116)/C116)</f>
        <v>-0.840909090909091</v>
      </c>
    </row>
    <row r="117" customFormat="false" ht="15" hidden="false" customHeight="false" outlineLevel="0" collapsed="false">
      <c r="A117" s="3" t="s">
        <v>96</v>
      </c>
      <c r="B117" s="3" t="s">
        <v>40</v>
      </c>
      <c r="C117" s="5" t="n">
        <f aca="false">SUMPRODUCT((Data!$A$2:$A$909=DATE(2026,7,20))*EXACT(Data!$B$2:$B$909,$A117)*EXACT(Data!$C$2:$C$909,$B117)*Data!$D$2:$D$909)</f>
        <v>93</v>
      </c>
      <c r="D117" s="5" t="n">
        <f aca="false">SUMPRODUCT((Data!$A$2:$A$909=DATE(2026,7,21))*EXACT(Data!$B$2:$B$909,$A117)*EXACT(Data!$C$2:$C$909,$B117)*Data!$D$2:$D$909)</f>
        <v>85</v>
      </c>
      <c r="E117" s="5" t="n">
        <f aca="false">SUMPRODUCT((Data!$A$2:$A$909=DATE(2026,7,22))*EXACT(Data!$B$2:$B$909,$A117)*EXACT(Data!$C$2:$C$909,$B117)*Data!$D$2:$D$909)</f>
        <v>158</v>
      </c>
      <c r="F117" s="5" t="n">
        <f aca="false">SUMPRODUCT((Data!$A$2:$A$909=DATE(2026,7,23))*EXACT(Data!$B$2:$B$909,$A117)*EXACT(Data!$C$2:$C$909,$B117)*Data!$D$2:$D$909)</f>
        <v>83</v>
      </c>
      <c r="G117" s="5" t="n">
        <f aca="false">SUMPRODUCT((Data!$A$2:$A$909=DATE(2026,7,24))*EXACT(Data!$B$2:$B$909,$A117)*EXACT(Data!$C$2:$C$909,$B117)*Data!$D$2:$D$909)</f>
        <v>117</v>
      </c>
      <c r="H117" s="5" t="n">
        <f aca="false">SUMPRODUCT((Data!$A$2:$A$909=DATE(2026,7,25))*EXACT(Data!$B$2:$B$909,$A117)*EXACT(Data!$C$2:$C$909,$B117)*Data!$D$2:$D$909)</f>
        <v>20</v>
      </c>
      <c r="I117" s="5" t="n">
        <f aca="false">SUMPRODUCT((Data!$A$2:$A$909=DATE(2026,7,26))*EXACT(Data!$B$2:$B$909,$A117)*EXACT(Data!$C$2:$C$909,$B117)*Data!$D$2:$D$909)</f>
        <v>21</v>
      </c>
      <c r="J117" s="6" t="n">
        <f aca="false">SUM(C117:I117)</f>
        <v>577</v>
      </c>
      <c r="K117" s="7" t="n">
        <f aca="false">IF(C117=0,"",(I117-C117)/C117)</f>
        <v>-0.774193548387097</v>
      </c>
    </row>
    <row r="118" customFormat="false" ht="15" hidden="false" customHeight="false" outlineLevel="0" collapsed="false">
      <c r="A118" s="3" t="s">
        <v>97</v>
      </c>
      <c r="B118" s="3" t="s">
        <v>98</v>
      </c>
      <c r="C118" s="5" t="n">
        <f aca="false">SUMPRODUCT((Data!$A$2:$A$909=DATE(2026,7,20))*EXACT(Data!$B$2:$B$909,$A118)*EXACT(Data!$C$2:$C$909,$B118)*Data!$D$2:$D$909)</f>
        <v>7</v>
      </c>
      <c r="D118" s="5" t="n">
        <f aca="false">SUMPRODUCT((Data!$A$2:$A$909=DATE(2026,7,21))*EXACT(Data!$B$2:$B$909,$A118)*EXACT(Data!$C$2:$C$909,$B118)*Data!$D$2:$D$909)</f>
        <v>6</v>
      </c>
      <c r="E118" s="5" t="n">
        <f aca="false">SUMPRODUCT((Data!$A$2:$A$909=DATE(2026,7,22))*EXACT(Data!$B$2:$B$909,$A118)*EXACT(Data!$C$2:$C$909,$B118)*Data!$D$2:$D$909)</f>
        <v>10</v>
      </c>
      <c r="F118" s="5" t="n">
        <f aca="false">SUMPRODUCT((Data!$A$2:$A$909=DATE(2026,7,23))*EXACT(Data!$B$2:$B$909,$A118)*EXACT(Data!$C$2:$C$909,$B118)*Data!$D$2:$D$909)</f>
        <v>0</v>
      </c>
      <c r="G118" s="5" t="n">
        <f aca="false">SUMPRODUCT((Data!$A$2:$A$909=DATE(2026,7,24))*EXACT(Data!$B$2:$B$909,$A118)*EXACT(Data!$C$2:$C$909,$B118)*Data!$D$2:$D$909)</f>
        <v>0</v>
      </c>
      <c r="H118" s="5" t="n">
        <f aca="false">SUMPRODUCT((Data!$A$2:$A$909=DATE(2026,7,25))*EXACT(Data!$B$2:$B$909,$A118)*EXACT(Data!$C$2:$C$909,$B118)*Data!$D$2:$D$909)</f>
        <v>10</v>
      </c>
      <c r="I118" s="5" t="n">
        <f aca="false">SUMPRODUCT((Data!$A$2:$A$909=DATE(2026,7,26))*EXACT(Data!$B$2:$B$909,$A118)*EXACT(Data!$C$2:$C$909,$B118)*Data!$D$2:$D$909)</f>
        <v>0</v>
      </c>
      <c r="J118" s="6" t="n">
        <f aca="false">SUM(C118:I118)</f>
        <v>33</v>
      </c>
      <c r="K118" s="7" t="n">
        <f aca="false">IF(C118=0,"",(I118-C118)/C118)</f>
        <v>-1</v>
      </c>
    </row>
    <row r="119" customFormat="false" ht="15" hidden="false" customHeight="false" outlineLevel="0" collapsed="false">
      <c r="A119" s="3" t="s">
        <v>97</v>
      </c>
      <c r="B119" s="3" t="s">
        <v>99</v>
      </c>
      <c r="C119" s="5" t="n">
        <f aca="false">SUMPRODUCT((Data!$A$2:$A$909=DATE(2026,7,20))*EXACT(Data!$B$2:$B$909,$A119)*EXACT(Data!$C$2:$C$909,$B119)*Data!$D$2:$D$909)</f>
        <v>8</v>
      </c>
      <c r="D119" s="5" t="n">
        <f aca="false">SUMPRODUCT((Data!$A$2:$A$909=DATE(2026,7,21))*EXACT(Data!$B$2:$B$909,$A119)*EXACT(Data!$C$2:$C$909,$B119)*Data!$D$2:$D$909)</f>
        <v>10</v>
      </c>
      <c r="E119" s="5" t="n">
        <f aca="false">SUMPRODUCT((Data!$A$2:$A$909=DATE(2026,7,22))*EXACT(Data!$B$2:$B$909,$A119)*EXACT(Data!$C$2:$C$909,$B119)*Data!$D$2:$D$909)</f>
        <v>21</v>
      </c>
      <c r="F119" s="5" t="n">
        <f aca="false">SUMPRODUCT((Data!$A$2:$A$909=DATE(2026,7,23))*EXACT(Data!$B$2:$B$909,$A119)*EXACT(Data!$C$2:$C$909,$B119)*Data!$D$2:$D$909)</f>
        <v>11</v>
      </c>
      <c r="G119" s="5" t="n">
        <f aca="false">SUMPRODUCT((Data!$A$2:$A$909=DATE(2026,7,24))*EXACT(Data!$B$2:$B$909,$A119)*EXACT(Data!$C$2:$C$909,$B119)*Data!$D$2:$D$909)</f>
        <v>0</v>
      </c>
      <c r="H119" s="5" t="n">
        <f aca="false">SUMPRODUCT((Data!$A$2:$A$909=DATE(2026,7,25))*EXACT(Data!$B$2:$B$909,$A119)*EXACT(Data!$C$2:$C$909,$B119)*Data!$D$2:$D$909)</f>
        <v>9</v>
      </c>
      <c r="I119" s="5" t="n">
        <f aca="false">SUMPRODUCT((Data!$A$2:$A$909=DATE(2026,7,26))*EXACT(Data!$B$2:$B$909,$A119)*EXACT(Data!$C$2:$C$909,$B119)*Data!$D$2:$D$909)</f>
        <v>0</v>
      </c>
      <c r="J119" s="6" t="n">
        <f aca="false">SUM(C119:I119)</f>
        <v>59</v>
      </c>
      <c r="K119" s="7" t="n">
        <f aca="false">IF(C119=0,"",(I119-C119)/C119)</f>
        <v>-1</v>
      </c>
    </row>
    <row r="120" customFormat="false" ht="15" hidden="false" customHeight="false" outlineLevel="0" collapsed="false">
      <c r="A120" s="3" t="s">
        <v>97</v>
      </c>
      <c r="B120" s="3" t="s">
        <v>100</v>
      </c>
      <c r="C120" s="5" t="n">
        <f aca="false">SUMPRODUCT((Data!$A$2:$A$909=DATE(2026,7,20))*EXACT(Data!$B$2:$B$909,$A120)*EXACT(Data!$C$2:$C$909,$B120)*Data!$D$2:$D$909)</f>
        <v>36</v>
      </c>
      <c r="D120" s="5" t="n">
        <f aca="false">SUMPRODUCT((Data!$A$2:$A$909=DATE(2026,7,21))*EXACT(Data!$B$2:$B$909,$A120)*EXACT(Data!$C$2:$C$909,$B120)*Data!$D$2:$D$909)</f>
        <v>22</v>
      </c>
      <c r="E120" s="5" t="n">
        <f aca="false">SUMPRODUCT((Data!$A$2:$A$909=DATE(2026,7,22))*EXACT(Data!$B$2:$B$909,$A120)*EXACT(Data!$C$2:$C$909,$B120)*Data!$D$2:$D$909)</f>
        <v>69</v>
      </c>
      <c r="F120" s="5" t="n">
        <f aca="false">SUMPRODUCT((Data!$A$2:$A$909=DATE(2026,7,23))*EXACT(Data!$B$2:$B$909,$A120)*EXACT(Data!$C$2:$C$909,$B120)*Data!$D$2:$D$909)</f>
        <v>22</v>
      </c>
      <c r="G120" s="5" t="n">
        <f aca="false">SUMPRODUCT((Data!$A$2:$A$909=DATE(2026,7,24))*EXACT(Data!$B$2:$B$909,$A120)*EXACT(Data!$C$2:$C$909,$B120)*Data!$D$2:$D$909)</f>
        <v>0</v>
      </c>
      <c r="H120" s="5" t="n">
        <f aca="false">SUMPRODUCT((Data!$A$2:$A$909=DATE(2026,7,25))*EXACT(Data!$B$2:$B$909,$A120)*EXACT(Data!$C$2:$C$909,$B120)*Data!$D$2:$D$909)</f>
        <v>11</v>
      </c>
      <c r="I120" s="5" t="n">
        <f aca="false">SUMPRODUCT((Data!$A$2:$A$909=DATE(2026,7,26))*EXACT(Data!$B$2:$B$909,$A120)*EXACT(Data!$C$2:$C$909,$B120)*Data!$D$2:$D$909)</f>
        <v>0</v>
      </c>
      <c r="J120" s="6" t="n">
        <f aca="false">SUM(C120:I120)</f>
        <v>160</v>
      </c>
      <c r="K120" s="7" t="n">
        <f aca="false">IF(C120=0,"",(I120-C120)/C120)</f>
        <v>-1</v>
      </c>
    </row>
    <row r="121" customFormat="false" ht="15" hidden="false" customHeight="false" outlineLevel="0" collapsed="false">
      <c r="A121" s="3" t="s">
        <v>97</v>
      </c>
      <c r="B121" s="3" t="s">
        <v>110</v>
      </c>
      <c r="C121" s="5" t="n">
        <f aca="false">SUMPRODUCT((Data!$A$2:$A$909=DATE(2026,7,20))*EXACT(Data!$B$2:$B$909,$A121)*EXACT(Data!$C$2:$C$909,$B121)*Data!$D$2:$D$909)</f>
        <v>0</v>
      </c>
      <c r="D121" s="5" t="n">
        <f aca="false">SUMPRODUCT((Data!$A$2:$A$909=DATE(2026,7,21))*EXACT(Data!$B$2:$B$909,$A121)*EXACT(Data!$C$2:$C$909,$B121)*Data!$D$2:$D$909)</f>
        <v>3</v>
      </c>
      <c r="E121" s="5" t="n">
        <f aca="false">SUMPRODUCT((Data!$A$2:$A$909=DATE(2026,7,22))*EXACT(Data!$B$2:$B$909,$A121)*EXACT(Data!$C$2:$C$909,$B121)*Data!$D$2:$D$909)</f>
        <v>0</v>
      </c>
      <c r="F121" s="5" t="n">
        <f aca="false">SUMPRODUCT((Data!$A$2:$A$909=DATE(2026,7,23))*EXACT(Data!$B$2:$B$909,$A121)*EXACT(Data!$C$2:$C$909,$B121)*Data!$D$2:$D$909)</f>
        <v>1</v>
      </c>
      <c r="G121" s="5" t="n">
        <f aca="false">SUMPRODUCT((Data!$A$2:$A$909=DATE(2026,7,24))*EXACT(Data!$B$2:$B$909,$A121)*EXACT(Data!$C$2:$C$909,$B121)*Data!$D$2:$D$909)</f>
        <v>0</v>
      </c>
      <c r="H121" s="5" t="n">
        <f aca="false">SUMPRODUCT((Data!$A$2:$A$909=DATE(2026,7,25))*EXACT(Data!$B$2:$B$909,$A121)*EXACT(Data!$C$2:$C$909,$B121)*Data!$D$2:$D$909)</f>
        <v>0</v>
      </c>
      <c r="I121" s="5" t="n">
        <f aca="false">SUMPRODUCT((Data!$A$2:$A$909=DATE(2026,7,26))*EXACT(Data!$B$2:$B$909,$A121)*EXACT(Data!$C$2:$C$909,$B121)*Data!$D$2:$D$909)</f>
        <v>0</v>
      </c>
      <c r="J121" s="6" t="n">
        <f aca="false">SUM(C121:I121)</f>
        <v>4</v>
      </c>
      <c r="K121" s="7" t="str">
        <f aca="false">IF(C121=0,"",(I121-C121)/C121)</f>
        <v/>
      </c>
    </row>
    <row r="122" customFormat="false" ht="15" hidden="false" customHeight="false" outlineLevel="0" collapsed="false">
      <c r="A122" s="3" t="s">
        <v>97</v>
      </c>
      <c r="B122" s="3" t="s">
        <v>111</v>
      </c>
      <c r="C122" s="5" t="n">
        <f aca="false">SUMPRODUCT((Data!$A$2:$A$909=DATE(2026,7,20))*EXACT(Data!$B$2:$B$909,$A122)*EXACT(Data!$C$2:$C$909,$B122)*Data!$D$2:$D$909)</f>
        <v>0</v>
      </c>
      <c r="D122" s="5" t="n">
        <f aca="false">SUMPRODUCT((Data!$A$2:$A$909=DATE(2026,7,21))*EXACT(Data!$B$2:$B$909,$A122)*EXACT(Data!$C$2:$C$909,$B122)*Data!$D$2:$D$909)</f>
        <v>1</v>
      </c>
      <c r="E122" s="5" t="n">
        <f aca="false">SUMPRODUCT((Data!$A$2:$A$909=DATE(2026,7,22))*EXACT(Data!$B$2:$B$909,$A122)*EXACT(Data!$C$2:$C$909,$B122)*Data!$D$2:$D$909)</f>
        <v>0</v>
      </c>
      <c r="F122" s="5" t="n">
        <f aca="false">SUMPRODUCT((Data!$A$2:$A$909=DATE(2026,7,23))*EXACT(Data!$B$2:$B$909,$A122)*EXACT(Data!$C$2:$C$909,$B122)*Data!$D$2:$D$909)</f>
        <v>1</v>
      </c>
      <c r="G122" s="5" t="n">
        <f aca="false">SUMPRODUCT((Data!$A$2:$A$909=DATE(2026,7,24))*EXACT(Data!$B$2:$B$909,$A122)*EXACT(Data!$C$2:$C$909,$B122)*Data!$D$2:$D$909)</f>
        <v>0</v>
      </c>
      <c r="H122" s="5" t="n">
        <f aca="false">SUMPRODUCT((Data!$A$2:$A$909=DATE(2026,7,25))*EXACT(Data!$B$2:$B$909,$A122)*EXACT(Data!$C$2:$C$909,$B122)*Data!$D$2:$D$909)</f>
        <v>0</v>
      </c>
      <c r="I122" s="5" t="n">
        <f aca="false">SUMPRODUCT((Data!$A$2:$A$909=DATE(2026,7,26))*EXACT(Data!$B$2:$B$909,$A122)*EXACT(Data!$C$2:$C$909,$B122)*Data!$D$2:$D$909)</f>
        <v>0</v>
      </c>
      <c r="J122" s="6" t="n">
        <f aca="false">SUM(C122:I122)</f>
        <v>2</v>
      </c>
      <c r="K122" s="7" t="str">
        <f aca="false">IF(C122=0,"",(I122-C122)/C122)</f>
        <v/>
      </c>
    </row>
    <row r="123" customFormat="false" ht="15" hidden="false" customHeight="false" outlineLevel="0" collapsed="false">
      <c r="A123" s="3" t="s">
        <v>97</v>
      </c>
      <c r="B123" s="3" t="s">
        <v>101</v>
      </c>
      <c r="C123" s="5" t="n">
        <f aca="false">SUMPRODUCT((Data!$A$2:$A$909=DATE(2026,7,20))*EXACT(Data!$B$2:$B$909,$A123)*EXACT(Data!$C$2:$C$909,$B123)*Data!$D$2:$D$909)</f>
        <v>22</v>
      </c>
      <c r="D123" s="5" t="n">
        <f aca="false">SUMPRODUCT((Data!$A$2:$A$909=DATE(2026,7,21))*EXACT(Data!$B$2:$B$909,$A123)*EXACT(Data!$C$2:$C$909,$B123)*Data!$D$2:$D$909)</f>
        <v>94</v>
      </c>
      <c r="E123" s="5" t="n">
        <f aca="false">SUMPRODUCT((Data!$A$2:$A$909=DATE(2026,7,22))*EXACT(Data!$B$2:$B$909,$A123)*EXACT(Data!$C$2:$C$909,$B123)*Data!$D$2:$D$909)</f>
        <v>35</v>
      </c>
      <c r="F123" s="5" t="n">
        <f aca="false">SUMPRODUCT((Data!$A$2:$A$909=DATE(2026,7,23))*EXACT(Data!$B$2:$B$909,$A123)*EXACT(Data!$C$2:$C$909,$B123)*Data!$D$2:$D$909)</f>
        <v>18</v>
      </c>
      <c r="G123" s="5" t="n">
        <f aca="false">SUMPRODUCT((Data!$A$2:$A$909=DATE(2026,7,24))*EXACT(Data!$B$2:$B$909,$A123)*EXACT(Data!$C$2:$C$909,$B123)*Data!$D$2:$D$909)</f>
        <v>27</v>
      </c>
      <c r="H123" s="5" t="n">
        <f aca="false">SUMPRODUCT((Data!$A$2:$A$909=DATE(2026,7,25))*EXACT(Data!$B$2:$B$909,$A123)*EXACT(Data!$C$2:$C$909,$B123)*Data!$D$2:$D$909)</f>
        <v>0</v>
      </c>
      <c r="I123" s="5" t="n">
        <f aca="false">SUMPRODUCT((Data!$A$2:$A$909=DATE(2026,7,26))*EXACT(Data!$B$2:$B$909,$A123)*EXACT(Data!$C$2:$C$909,$B123)*Data!$D$2:$D$909)</f>
        <v>0</v>
      </c>
      <c r="J123" s="6" t="n">
        <f aca="false">SUM(C123:I123)</f>
        <v>196</v>
      </c>
      <c r="K123" s="7" t="n">
        <f aca="false">IF(C123=0,"",(I123-C123)/C123)</f>
        <v>-1</v>
      </c>
    </row>
    <row r="124" customFormat="false" ht="15" hidden="false" customHeight="false" outlineLevel="0" collapsed="false">
      <c r="A124" s="3" t="s">
        <v>97</v>
      </c>
      <c r="B124" s="3" t="s">
        <v>102</v>
      </c>
      <c r="C124" s="5" t="n">
        <f aca="false">SUMPRODUCT((Data!$A$2:$A$909=DATE(2026,7,20))*EXACT(Data!$B$2:$B$909,$A124)*EXACT(Data!$C$2:$C$909,$B124)*Data!$D$2:$D$909)</f>
        <v>7</v>
      </c>
      <c r="D124" s="5" t="n">
        <f aca="false">SUMPRODUCT((Data!$A$2:$A$909=DATE(2026,7,21))*EXACT(Data!$B$2:$B$909,$A124)*EXACT(Data!$C$2:$C$909,$B124)*Data!$D$2:$D$909)</f>
        <v>9</v>
      </c>
      <c r="E124" s="5" t="n">
        <f aca="false">SUMPRODUCT((Data!$A$2:$A$909=DATE(2026,7,22))*EXACT(Data!$B$2:$B$909,$A124)*EXACT(Data!$C$2:$C$909,$B124)*Data!$D$2:$D$909)</f>
        <v>4</v>
      </c>
      <c r="F124" s="5" t="n">
        <f aca="false">SUMPRODUCT((Data!$A$2:$A$909=DATE(2026,7,23))*EXACT(Data!$B$2:$B$909,$A124)*EXACT(Data!$C$2:$C$909,$B124)*Data!$D$2:$D$909)</f>
        <v>0</v>
      </c>
      <c r="G124" s="5" t="n">
        <f aca="false">SUMPRODUCT((Data!$A$2:$A$909=DATE(2026,7,24))*EXACT(Data!$B$2:$B$909,$A124)*EXACT(Data!$C$2:$C$909,$B124)*Data!$D$2:$D$909)</f>
        <v>2</v>
      </c>
      <c r="H124" s="5" t="n">
        <f aca="false">SUMPRODUCT((Data!$A$2:$A$909=DATE(2026,7,25))*EXACT(Data!$B$2:$B$909,$A124)*EXACT(Data!$C$2:$C$909,$B124)*Data!$D$2:$D$909)</f>
        <v>0</v>
      </c>
      <c r="I124" s="5" t="n">
        <f aca="false">SUMPRODUCT((Data!$A$2:$A$909=DATE(2026,7,26))*EXACT(Data!$B$2:$B$909,$A124)*EXACT(Data!$C$2:$C$909,$B124)*Data!$D$2:$D$909)</f>
        <v>0</v>
      </c>
      <c r="J124" s="6" t="n">
        <f aca="false">SUM(C124:I124)</f>
        <v>22</v>
      </c>
      <c r="K124" s="7" t="n">
        <f aca="false">IF(C124=0,"",(I124-C124)/C124)</f>
        <v>-1</v>
      </c>
    </row>
    <row r="125" customFormat="false" ht="15" hidden="false" customHeight="false" outlineLevel="0" collapsed="false">
      <c r="A125" s="3" t="s">
        <v>103</v>
      </c>
      <c r="B125" s="3" t="s">
        <v>16</v>
      </c>
      <c r="C125" s="5" t="n">
        <f aca="false">SUMPRODUCT((Data!$A$2:$A$909=DATE(2026,7,20))*EXACT(Data!$B$2:$B$909,$A125)*EXACT(Data!$C$2:$C$909,$B125)*Data!$D$2:$D$909)</f>
        <v>8</v>
      </c>
      <c r="D125" s="5" t="n">
        <f aca="false">SUMPRODUCT((Data!$A$2:$A$909=DATE(2026,7,21))*EXACT(Data!$B$2:$B$909,$A125)*EXACT(Data!$C$2:$C$909,$B125)*Data!$D$2:$D$909)</f>
        <v>5</v>
      </c>
      <c r="E125" s="5" t="n">
        <f aca="false">SUMPRODUCT((Data!$A$2:$A$909=DATE(2026,7,22))*EXACT(Data!$B$2:$B$909,$A125)*EXACT(Data!$C$2:$C$909,$B125)*Data!$D$2:$D$909)</f>
        <v>12</v>
      </c>
      <c r="F125" s="5" t="n">
        <f aca="false">SUMPRODUCT((Data!$A$2:$A$909=DATE(2026,7,23))*EXACT(Data!$B$2:$B$909,$A125)*EXACT(Data!$C$2:$C$909,$B125)*Data!$D$2:$D$909)</f>
        <v>28</v>
      </c>
      <c r="G125" s="5" t="n">
        <f aca="false">SUMPRODUCT((Data!$A$2:$A$909=DATE(2026,7,24))*EXACT(Data!$B$2:$B$909,$A125)*EXACT(Data!$C$2:$C$909,$B125)*Data!$D$2:$D$909)</f>
        <v>18</v>
      </c>
      <c r="H125" s="5" t="n">
        <f aca="false">SUMPRODUCT((Data!$A$2:$A$909=DATE(2026,7,25))*EXACT(Data!$B$2:$B$909,$A125)*EXACT(Data!$C$2:$C$909,$B125)*Data!$D$2:$D$909)</f>
        <v>0</v>
      </c>
      <c r="I125" s="5" t="n">
        <f aca="false">SUMPRODUCT((Data!$A$2:$A$909=DATE(2026,7,26))*EXACT(Data!$B$2:$B$909,$A125)*EXACT(Data!$C$2:$C$909,$B125)*Data!$D$2:$D$909)</f>
        <v>0</v>
      </c>
      <c r="J125" s="6" t="n">
        <f aca="false">SUM(C125:I125)</f>
        <v>71</v>
      </c>
      <c r="K125" s="7" t="n">
        <f aca="false">IF(C125=0,"",(I125-C125)/C125)</f>
        <v>-1</v>
      </c>
    </row>
    <row r="126" customFormat="false" ht="15" hidden="false" customHeight="false" outlineLevel="0" collapsed="false">
      <c r="A126" s="3" t="s">
        <v>104</v>
      </c>
      <c r="B126" s="3" t="s">
        <v>16</v>
      </c>
      <c r="C126" s="5" t="n">
        <f aca="false">SUMPRODUCT((Data!$A$2:$A$909=DATE(2026,7,20))*EXACT(Data!$B$2:$B$909,$A126)*EXACT(Data!$C$2:$C$909,$B126)*Data!$D$2:$D$909)</f>
        <v>92</v>
      </c>
      <c r="D126" s="5" t="n">
        <f aca="false">SUMPRODUCT((Data!$A$2:$A$909=DATE(2026,7,21))*EXACT(Data!$B$2:$B$909,$A126)*EXACT(Data!$C$2:$C$909,$B126)*Data!$D$2:$D$909)</f>
        <v>103</v>
      </c>
      <c r="E126" s="5" t="n">
        <f aca="false">SUMPRODUCT((Data!$A$2:$A$909=DATE(2026,7,22))*EXACT(Data!$B$2:$B$909,$A126)*EXACT(Data!$C$2:$C$909,$B126)*Data!$D$2:$D$909)</f>
        <v>99</v>
      </c>
      <c r="F126" s="5" t="n">
        <f aca="false">SUMPRODUCT((Data!$A$2:$A$909=DATE(2026,7,23))*EXACT(Data!$B$2:$B$909,$A126)*EXACT(Data!$C$2:$C$909,$B126)*Data!$D$2:$D$909)</f>
        <v>84</v>
      </c>
      <c r="G126" s="5" t="n">
        <f aca="false">SUMPRODUCT((Data!$A$2:$A$909=DATE(2026,7,24))*EXACT(Data!$B$2:$B$909,$A126)*EXACT(Data!$C$2:$C$909,$B126)*Data!$D$2:$D$909)</f>
        <v>80</v>
      </c>
      <c r="H126" s="5" t="n">
        <f aca="false">SUMPRODUCT((Data!$A$2:$A$909=DATE(2026,7,25))*EXACT(Data!$B$2:$B$909,$A126)*EXACT(Data!$C$2:$C$909,$B126)*Data!$D$2:$D$909)</f>
        <v>1</v>
      </c>
      <c r="I126" s="5" t="n">
        <f aca="false">SUMPRODUCT((Data!$A$2:$A$909=DATE(2026,7,26))*EXACT(Data!$B$2:$B$909,$A126)*EXACT(Data!$C$2:$C$909,$B126)*Data!$D$2:$D$909)</f>
        <v>3</v>
      </c>
      <c r="J126" s="6" t="n">
        <f aca="false">SUM(C126:I126)</f>
        <v>462</v>
      </c>
      <c r="K126" s="7" t="n">
        <f aca="false">IF(C126=0,"",(I126-C126)/C126)</f>
        <v>-0.967391304347826</v>
      </c>
    </row>
    <row r="127" customFormat="false" ht="15" hidden="false" customHeight="false" outlineLevel="0" collapsed="false">
      <c r="A127" s="3" t="s">
        <v>105</v>
      </c>
      <c r="B127" s="3" t="s">
        <v>11</v>
      </c>
      <c r="C127" s="5" t="n">
        <f aca="false">SUMPRODUCT((Data!$A$2:$A$909=DATE(2026,7,20))*EXACT(Data!$B$2:$B$909,$A127)*EXACT(Data!$C$2:$C$909,$B127)*Data!$D$2:$D$909)</f>
        <v>1871</v>
      </c>
      <c r="D127" s="5" t="n">
        <f aca="false">SUMPRODUCT((Data!$A$2:$A$909=DATE(2026,7,21))*EXACT(Data!$B$2:$B$909,$A127)*EXACT(Data!$C$2:$C$909,$B127)*Data!$D$2:$D$909)</f>
        <v>1913</v>
      </c>
      <c r="E127" s="5" t="n">
        <f aca="false">SUMPRODUCT((Data!$A$2:$A$909=DATE(2026,7,22))*EXACT(Data!$B$2:$B$909,$A127)*EXACT(Data!$C$2:$C$909,$B127)*Data!$D$2:$D$909)</f>
        <v>1769</v>
      </c>
      <c r="F127" s="5" t="n">
        <f aca="false">SUMPRODUCT((Data!$A$2:$A$909=DATE(2026,7,23))*EXACT(Data!$B$2:$B$909,$A127)*EXACT(Data!$C$2:$C$909,$B127)*Data!$D$2:$D$909)</f>
        <v>1590</v>
      </c>
      <c r="G127" s="5" t="n">
        <f aca="false">SUMPRODUCT((Data!$A$2:$A$909=DATE(2026,7,24))*EXACT(Data!$B$2:$B$909,$A127)*EXACT(Data!$C$2:$C$909,$B127)*Data!$D$2:$D$909)</f>
        <v>2033</v>
      </c>
      <c r="H127" s="5" t="n">
        <f aca="false">SUMPRODUCT((Data!$A$2:$A$909=DATE(2026,7,25))*EXACT(Data!$B$2:$B$909,$A127)*EXACT(Data!$C$2:$C$909,$B127)*Data!$D$2:$D$909)</f>
        <v>0</v>
      </c>
      <c r="I127" s="5" t="n">
        <f aca="false">SUMPRODUCT((Data!$A$2:$A$909=DATE(2026,7,26))*EXACT(Data!$B$2:$B$909,$A127)*EXACT(Data!$C$2:$C$909,$B127)*Data!$D$2:$D$909)</f>
        <v>0</v>
      </c>
      <c r="J127" s="6" t="n">
        <f aca="false">SUM(C127:I127)</f>
        <v>9176</v>
      </c>
      <c r="K127" s="7" t="n">
        <f aca="false">IF(C127=0,"",(I127-C127)/C127)</f>
        <v>-1</v>
      </c>
    </row>
    <row r="128" customFormat="false" ht="15" hidden="false" customHeight="false" outlineLevel="0" collapsed="false">
      <c r="A128" s="3" t="s">
        <v>106</v>
      </c>
      <c r="B128" s="3" t="s">
        <v>16</v>
      </c>
      <c r="C128" s="5" t="n">
        <f aca="false">SUMPRODUCT((Data!$A$2:$A$909=DATE(2026,7,20))*EXACT(Data!$B$2:$B$909,$A128)*EXACT(Data!$C$2:$C$909,$B128)*Data!$D$2:$D$909)</f>
        <v>484</v>
      </c>
      <c r="D128" s="5" t="n">
        <f aca="false">SUMPRODUCT((Data!$A$2:$A$909=DATE(2026,7,21))*EXACT(Data!$B$2:$B$909,$A128)*EXACT(Data!$C$2:$C$909,$B128)*Data!$D$2:$D$909)</f>
        <v>388</v>
      </c>
      <c r="E128" s="5" t="n">
        <f aca="false">SUMPRODUCT((Data!$A$2:$A$909=DATE(2026,7,22))*EXACT(Data!$B$2:$B$909,$A128)*EXACT(Data!$C$2:$C$909,$B128)*Data!$D$2:$D$909)</f>
        <v>354</v>
      </c>
      <c r="F128" s="5" t="n">
        <f aca="false">SUMPRODUCT((Data!$A$2:$A$909=DATE(2026,7,23))*EXACT(Data!$B$2:$B$909,$A128)*EXACT(Data!$C$2:$C$909,$B128)*Data!$D$2:$D$909)</f>
        <v>373</v>
      </c>
      <c r="G128" s="5" t="n">
        <f aca="false">SUMPRODUCT((Data!$A$2:$A$909=DATE(2026,7,24))*EXACT(Data!$B$2:$B$909,$A128)*EXACT(Data!$C$2:$C$909,$B128)*Data!$D$2:$D$909)</f>
        <v>312</v>
      </c>
      <c r="H128" s="5" t="n">
        <f aca="false">SUMPRODUCT((Data!$A$2:$A$909=DATE(2026,7,25))*EXACT(Data!$B$2:$B$909,$A128)*EXACT(Data!$C$2:$C$909,$B128)*Data!$D$2:$D$909)</f>
        <v>15</v>
      </c>
      <c r="I128" s="5" t="n">
        <f aca="false">SUMPRODUCT((Data!$A$2:$A$909=DATE(2026,7,26))*EXACT(Data!$B$2:$B$909,$A128)*EXACT(Data!$C$2:$C$909,$B128)*Data!$D$2:$D$909)</f>
        <v>53</v>
      </c>
      <c r="J128" s="6" t="n">
        <f aca="false">SUM(C128:I128)</f>
        <v>1979</v>
      </c>
      <c r="K128" s="7" t="n">
        <f aca="false">IF(C128=0,"",(I128-C128)/C128)</f>
        <v>-0.890495867768595</v>
      </c>
    </row>
    <row r="129" customFormat="false" ht="15" hidden="false" customHeight="false" outlineLevel="0" collapsed="false">
      <c r="A129" s="3" t="s">
        <v>107</v>
      </c>
      <c r="B129" s="3" t="s">
        <v>11</v>
      </c>
      <c r="C129" s="5" t="n">
        <f aca="false">SUMPRODUCT((Data!$A$2:$A$909=DATE(2026,7,20))*EXACT(Data!$B$2:$B$909,$A129)*EXACT(Data!$C$2:$C$909,$B129)*Data!$D$2:$D$909)</f>
        <v>4</v>
      </c>
      <c r="D129" s="5" t="n">
        <f aca="false">SUMPRODUCT((Data!$A$2:$A$909=DATE(2026,7,21))*EXACT(Data!$B$2:$B$909,$A129)*EXACT(Data!$C$2:$C$909,$B129)*Data!$D$2:$D$909)</f>
        <v>1</v>
      </c>
      <c r="E129" s="5" t="n">
        <f aca="false">SUMPRODUCT((Data!$A$2:$A$909=DATE(2026,7,22))*EXACT(Data!$B$2:$B$909,$A129)*EXACT(Data!$C$2:$C$909,$B129)*Data!$D$2:$D$909)</f>
        <v>1</v>
      </c>
      <c r="F129" s="5" t="n">
        <f aca="false">SUMPRODUCT((Data!$A$2:$A$909=DATE(2026,7,23))*EXACT(Data!$B$2:$B$909,$A129)*EXACT(Data!$C$2:$C$909,$B129)*Data!$D$2:$D$909)</f>
        <v>1</v>
      </c>
      <c r="G129" s="5" t="n">
        <f aca="false">SUMPRODUCT((Data!$A$2:$A$909=DATE(2026,7,24))*EXACT(Data!$B$2:$B$909,$A129)*EXACT(Data!$C$2:$C$909,$B129)*Data!$D$2:$D$909)</f>
        <v>1</v>
      </c>
      <c r="H129" s="5" t="n">
        <f aca="false">SUMPRODUCT((Data!$A$2:$A$909=DATE(2026,7,25))*EXACT(Data!$B$2:$B$909,$A129)*EXACT(Data!$C$2:$C$909,$B129)*Data!$D$2:$D$909)</f>
        <v>0</v>
      </c>
      <c r="I129" s="5" t="n">
        <f aca="false">SUMPRODUCT((Data!$A$2:$A$909=DATE(2026,7,26))*EXACT(Data!$B$2:$B$909,$A129)*EXACT(Data!$C$2:$C$909,$B129)*Data!$D$2:$D$909)</f>
        <v>0</v>
      </c>
      <c r="J129" s="6" t="n">
        <f aca="false">SUM(C129:I129)</f>
        <v>8</v>
      </c>
      <c r="K129" s="7" t="n">
        <f aca="false">IF(C129=0,"",(I129-C129)/C129)</f>
        <v>-1</v>
      </c>
    </row>
    <row r="130" customFormat="false" ht="15" hidden="false" customHeight="false" outlineLevel="0" collapsed="false">
      <c r="A130" s="3" t="s">
        <v>51</v>
      </c>
      <c r="B130" s="3" t="s">
        <v>32</v>
      </c>
      <c r="C130" s="5" t="n">
        <f aca="false">SUMPRODUCT((Data!$A$2:$A$909=DATE(2026,7,20))*EXACT(Data!$B$2:$B$909,$A130)*EXACT(Data!$C$2:$C$909,$B130)*Data!$D$2:$D$909)</f>
        <v>3164</v>
      </c>
      <c r="D130" s="5" t="n">
        <f aca="false">SUMPRODUCT((Data!$A$2:$A$909=DATE(2026,7,21))*EXACT(Data!$B$2:$B$909,$A130)*EXACT(Data!$C$2:$C$909,$B130)*Data!$D$2:$D$909)</f>
        <v>2717</v>
      </c>
      <c r="E130" s="5" t="n">
        <f aca="false">SUMPRODUCT((Data!$A$2:$A$909=DATE(2026,7,22))*EXACT(Data!$B$2:$B$909,$A130)*EXACT(Data!$C$2:$C$909,$B130)*Data!$D$2:$D$909)</f>
        <v>2148</v>
      </c>
      <c r="F130" s="5" t="n">
        <f aca="false">SUMPRODUCT((Data!$A$2:$A$909=DATE(2026,7,23))*EXACT(Data!$B$2:$B$909,$A130)*EXACT(Data!$C$2:$C$909,$B130)*Data!$D$2:$D$909)</f>
        <v>1938</v>
      </c>
      <c r="G130" s="5" t="n">
        <f aca="false">SUMPRODUCT((Data!$A$2:$A$909=DATE(2026,7,24))*EXACT(Data!$B$2:$B$909,$A130)*EXACT(Data!$C$2:$C$909,$B130)*Data!$D$2:$D$909)</f>
        <v>1772</v>
      </c>
      <c r="H130" s="5" t="n">
        <f aca="false">SUMPRODUCT((Data!$A$2:$A$909=DATE(2026,7,25))*EXACT(Data!$B$2:$B$909,$A130)*EXACT(Data!$C$2:$C$909,$B130)*Data!$D$2:$D$909)</f>
        <v>1427</v>
      </c>
      <c r="I130" s="5" t="n">
        <f aca="false">SUMPRODUCT((Data!$A$2:$A$909=DATE(2026,7,26))*EXACT(Data!$B$2:$B$909,$A130)*EXACT(Data!$C$2:$C$909,$B130)*Data!$D$2:$D$909)</f>
        <v>1360</v>
      </c>
      <c r="J130" s="6" t="n">
        <f aca="false">SUM(C130:I130)</f>
        <v>14526</v>
      </c>
      <c r="K130" s="7" t="n">
        <f aca="false">IF(C130=0,"",(I130-C130)/C130)</f>
        <v>-0.570164348925411</v>
      </c>
    </row>
    <row r="131" customFormat="false" ht="15" hidden="false" customHeight="false" outlineLevel="0" collapsed="false">
      <c r="A131" s="3" t="s">
        <v>51</v>
      </c>
      <c r="B131" s="3" t="s">
        <v>20</v>
      </c>
      <c r="C131" s="5" t="n">
        <f aca="false">SUMPRODUCT((Data!$A$2:$A$909=DATE(2026,7,20))*EXACT(Data!$B$2:$B$909,$A131)*EXACT(Data!$C$2:$C$909,$B131)*Data!$D$2:$D$909)</f>
        <v>7437</v>
      </c>
      <c r="D131" s="5" t="n">
        <f aca="false">SUMPRODUCT((Data!$A$2:$A$909=DATE(2026,7,21))*EXACT(Data!$B$2:$B$909,$A131)*EXACT(Data!$C$2:$C$909,$B131)*Data!$D$2:$D$909)</f>
        <v>6851</v>
      </c>
      <c r="E131" s="5" t="n">
        <f aca="false">SUMPRODUCT((Data!$A$2:$A$909=DATE(2026,7,22))*EXACT(Data!$B$2:$B$909,$A131)*EXACT(Data!$C$2:$C$909,$B131)*Data!$D$2:$D$909)</f>
        <v>6371</v>
      </c>
      <c r="F131" s="5" t="n">
        <f aca="false">SUMPRODUCT((Data!$A$2:$A$909=DATE(2026,7,23))*EXACT(Data!$B$2:$B$909,$A131)*EXACT(Data!$C$2:$C$909,$B131)*Data!$D$2:$D$909)</f>
        <v>6399</v>
      </c>
      <c r="G131" s="5" t="n">
        <f aca="false">SUMPRODUCT((Data!$A$2:$A$909=DATE(2026,7,24))*EXACT(Data!$B$2:$B$909,$A131)*EXACT(Data!$C$2:$C$909,$B131)*Data!$D$2:$D$909)</f>
        <v>5716</v>
      </c>
      <c r="H131" s="5" t="n">
        <f aca="false">SUMPRODUCT((Data!$A$2:$A$909=DATE(2026,7,25))*EXACT(Data!$B$2:$B$909,$A131)*EXACT(Data!$C$2:$C$909,$B131)*Data!$D$2:$D$909)</f>
        <v>4767</v>
      </c>
      <c r="I131" s="5" t="n">
        <f aca="false">SUMPRODUCT((Data!$A$2:$A$909=DATE(2026,7,26))*EXACT(Data!$B$2:$B$909,$A131)*EXACT(Data!$C$2:$C$909,$B131)*Data!$D$2:$D$909)</f>
        <v>4598</v>
      </c>
      <c r="J131" s="6" t="n">
        <f aca="false">SUM(C131:I131)</f>
        <v>42139</v>
      </c>
      <c r="K131" s="7" t="n">
        <f aca="false">IF(C131=0,"",(I131-C131)/C131)</f>
        <v>-0.381739948904128</v>
      </c>
    </row>
    <row r="132" customFormat="false" ht="15" hidden="false" customHeight="false" outlineLevel="0" collapsed="false">
      <c r="A132" s="3" t="s">
        <v>51</v>
      </c>
      <c r="B132" s="3" t="s">
        <v>33</v>
      </c>
      <c r="C132" s="5" t="n">
        <f aca="false">SUMPRODUCT((Data!$A$2:$A$909=DATE(2026,7,20))*EXACT(Data!$B$2:$B$909,$A132)*EXACT(Data!$C$2:$C$909,$B132)*Data!$D$2:$D$909)</f>
        <v>8553</v>
      </c>
      <c r="D132" s="5" t="n">
        <f aca="false">SUMPRODUCT((Data!$A$2:$A$909=DATE(2026,7,21))*EXACT(Data!$B$2:$B$909,$A132)*EXACT(Data!$C$2:$C$909,$B132)*Data!$D$2:$D$909)</f>
        <v>8046</v>
      </c>
      <c r="E132" s="5" t="n">
        <f aca="false">SUMPRODUCT((Data!$A$2:$A$909=DATE(2026,7,22))*EXACT(Data!$B$2:$B$909,$A132)*EXACT(Data!$C$2:$C$909,$B132)*Data!$D$2:$D$909)</f>
        <v>7172</v>
      </c>
      <c r="F132" s="5" t="n">
        <f aca="false">SUMPRODUCT((Data!$A$2:$A$909=DATE(2026,7,23))*EXACT(Data!$B$2:$B$909,$A132)*EXACT(Data!$C$2:$C$909,$B132)*Data!$D$2:$D$909)</f>
        <v>7107</v>
      </c>
      <c r="G132" s="5" t="n">
        <f aca="false">SUMPRODUCT((Data!$A$2:$A$909=DATE(2026,7,24))*EXACT(Data!$B$2:$B$909,$A132)*EXACT(Data!$C$2:$C$909,$B132)*Data!$D$2:$D$909)</f>
        <v>6870</v>
      </c>
      <c r="H132" s="5" t="n">
        <f aca="false">SUMPRODUCT((Data!$A$2:$A$909=DATE(2026,7,25))*EXACT(Data!$B$2:$B$909,$A132)*EXACT(Data!$C$2:$C$909,$B132)*Data!$D$2:$D$909)</f>
        <v>4757</v>
      </c>
      <c r="I132" s="5" t="n">
        <f aca="false">SUMPRODUCT((Data!$A$2:$A$909=DATE(2026,7,26))*EXACT(Data!$B$2:$B$909,$A132)*EXACT(Data!$C$2:$C$909,$B132)*Data!$D$2:$D$909)</f>
        <v>4621</v>
      </c>
      <c r="J132" s="6" t="n">
        <f aca="false">SUM(C132:I132)</f>
        <v>47126</v>
      </c>
      <c r="K132" s="7" t="n">
        <f aca="false">IF(C132=0,"",(I132-C132)/C132)</f>
        <v>-0.45972173506372</v>
      </c>
    </row>
    <row r="133" customFormat="false" ht="15" hidden="false" customHeight="false" outlineLevel="0" collapsed="false">
      <c r="A133" s="3" t="s">
        <v>51</v>
      </c>
      <c r="B133" s="3" t="s">
        <v>34</v>
      </c>
      <c r="C133" s="5" t="n">
        <f aca="false">SUMPRODUCT((Data!$A$2:$A$909=DATE(2026,7,20))*EXACT(Data!$B$2:$B$909,$A133)*EXACT(Data!$C$2:$C$909,$B133)*Data!$D$2:$D$909)</f>
        <v>5399</v>
      </c>
      <c r="D133" s="5" t="n">
        <f aca="false">SUMPRODUCT((Data!$A$2:$A$909=DATE(2026,7,21))*EXACT(Data!$B$2:$B$909,$A133)*EXACT(Data!$C$2:$C$909,$B133)*Data!$D$2:$D$909)</f>
        <v>5337</v>
      </c>
      <c r="E133" s="5" t="n">
        <f aca="false">SUMPRODUCT((Data!$A$2:$A$909=DATE(2026,7,22))*EXACT(Data!$B$2:$B$909,$A133)*EXACT(Data!$C$2:$C$909,$B133)*Data!$D$2:$D$909)</f>
        <v>5027</v>
      </c>
      <c r="F133" s="5" t="n">
        <f aca="false">SUMPRODUCT((Data!$A$2:$A$909=DATE(2026,7,23))*EXACT(Data!$B$2:$B$909,$A133)*EXACT(Data!$C$2:$C$909,$B133)*Data!$D$2:$D$909)</f>
        <v>5172</v>
      </c>
      <c r="G133" s="5" t="n">
        <f aca="false">SUMPRODUCT((Data!$A$2:$A$909=DATE(2026,7,24))*EXACT(Data!$B$2:$B$909,$A133)*EXACT(Data!$C$2:$C$909,$B133)*Data!$D$2:$D$909)</f>
        <v>5111</v>
      </c>
      <c r="H133" s="5" t="n">
        <f aca="false">SUMPRODUCT((Data!$A$2:$A$909=DATE(2026,7,25))*EXACT(Data!$B$2:$B$909,$A133)*EXACT(Data!$C$2:$C$909,$B133)*Data!$D$2:$D$909)</f>
        <v>3337</v>
      </c>
      <c r="I133" s="5" t="n">
        <f aca="false">SUMPRODUCT((Data!$A$2:$A$909=DATE(2026,7,26))*EXACT(Data!$B$2:$B$909,$A133)*EXACT(Data!$C$2:$C$909,$B133)*Data!$D$2:$D$909)</f>
        <v>3262</v>
      </c>
      <c r="J133" s="6" t="n">
        <f aca="false">SUM(C133:I133)</f>
        <v>32645</v>
      </c>
      <c r="K133" s="7" t="n">
        <f aca="false">IF(C133=0,"",(I133-C133)/C133)</f>
        <v>-0.39581403963697</v>
      </c>
    </row>
    <row r="134" customFormat="false" ht="15" hidden="false" customHeight="false" outlineLevel="0" collapsed="false">
      <c r="A134" s="3" t="s">
        <v>51</v>
      </c>
      <c r="B134" s="3" t="s">
        <v>22</v>
      </c>
      <c r="C134" s="5" t="n">
        <f aca="false">SUMPRODUCT((Data!$A$2:$A$909=DATE(2026,7,20))*EXACT(Data!$B$2:$B$909,$A134)*EXACT(Data!$C$2:$C$909,$B134)*Data!$D$2:$D$909)</f>
        <v>3127</v>
      </c>
      <c r="D134" s="5" t="n">
        <f aca="false">SUMPRODUCT((Data!$A$2:$A$909=DATE(2026,7,21))*EXACT(Data!$B$2:$B$909,$A134)*EXACT(Data!$C$2:$C$909,$B134)*Data!$D$2:$D$909)</f>
        <v>2976</v>
      </c>
      <c r="E134" s="5" t="n">
        <f aca="false">SUMPRODUCT((Data!$A$2:$A$909=DATE(2026,7,22))*EXACT(Data!$B$2:$B$909,$A134)*EXACT(Data!$C$2:$C$909,$B134)*Data!$D$2:$D$909)</f>
        <v>3180</v>
      </c>
      <c r="F134" s="5" t="n">
        <f aca="false">SUMPRODUCT((Data!$A$2:$A$909=DATE(2026,7,23))*EXACT(Data!$B$2:$B$909,$A134)*EXACT(Data!$C$2:$C$909,$B134)*Data!$D$2:$D$909)</f>
        <v>3410</v>
      </c>
      <c r="G134" s="5" t="n">
        <f aca="false">SUMPRODUCT((Data!$A$2:$A$909=DATE(2026,7,24))*EXACT(Data!$B$2:$B$909,$A134)*EXACT(Data!$C$2:$C$909,$B134)*Data!$D$2:$D$909)</f>
        <v>2967</v>
      </c>
      <c r="H134" s="5" t="n">
        <f aca="false">SUMPRODUCT((Data!$A$2:$A$909=DATE(2026,7,25))*EXACT(Data!$B$2:$B$909,$A134)*EXACT(Data!$C$2:$C$909,$B134)*Data!$D$2:$D$909)</f>
        <v>2437</v>
      </c>
      <c r="I134" s="5" t="n">
        <f aca="false">SUMPRODUCT((Data!$A$2:$A$909=DATE(2026,7,26))*EXACT(Data!$B$2:$B$909,$A134)*EXACT(Data!$C$2:$C$909,$B134)*Data!$D$2:$D$909)</f>
        <v>2327</v>
      </c>
      <c r="J134" s="6" t="n">
        <f aca="false">SUM(C134:I134)</f>
        <v>20424</v>
      </c>
      <c r="K134" s="7" t="n">
        <f aca="false">IF(C134=0,"",(I134-C134)/C134)</f>
        <v>-0.255836264790534</v>
      </c>
    </row>
    <row r="135" customFormat="false" ht="15" hidden="false" customHeight="false" outlineLevel="0" collapsed="false">
      <c r="A135" s="3" t="s">
        <v>52</v>
      </c>
      <c r="B135" s="3" t="s">
        <v>11</v>
      </c>
      <c r="C135" s="5" t="n">
        <f aca="false">SUMPRODUCT((Data!$A$2:$A$909=DATE(2026,7,20))*EXACT(Data!$B$2:$B$909,$A135)*EXACT(Data!$C$2:$C$909,$B135)*Data!$D$2:$D$909)</f>
        <v>14106</v>
      </c>
      <c r="D135" s="5" t="n">
        <f aca="false">SUMPRODUCT((Data!$A$2:$A$909=DATE(2026,7,21))*EXACT(Data!$B$2:$B$909,$A135)*EXACT(Data!$C$2:$C$909,$B135)*Data!$D$2:$D$909)</f>
        <v>13586</v>
      </c>
      <c r="E135" s="5" t="n">
        <f aca="false">SUMPRODUCT((Data!$A$2:$A$909=DATE(2026,7,22))*EXACT(Data!$B$2:$B$909,$A135)*EXACT(Data!$C$2:$C$909,$B135)*Data!$D$2:$D$909)</f>
        <v>370</v>
      </c>
      <c r="F135" s="5" t="n">
        <f aca="false">SUMPRODUCT((Data!$A$2:$A$909=DATE(2026,7,23))*EXACT(Data!$B$2:$B$909,$A135)*EXACT(Data!$C$2:$C$909,$B135)*Data!$D$2:$D$909)</f>
        <v>12869</v>
      </c>
      <c r="G135" s="5" t="n">
        <f aca="false">SUMPRODUCT((Data!$A$2:$A$909=DATE(2026,7,24))*EXACT(Data!$B$2:$B$909,$A135)*EXACT(Data!$C$2:$C$909,$B135)*Data!$D$2:$D$909)</f>
        <v>12898</v>
      </c>
      <c r="H135" s="5" t="n">
        <f aca="false">SUMPRODUCT((Data!$A$2:$A$909=DATE(2026,7,25))*EXACT(Data!$B$2:$B$909,$A135)*EXACT(Data!$C$2:$C$909,$B135)*Data!$D$2:$D$909)</f>
        <v>10997</v>
      </c>
      <c r="I135" s="5" t="n">
        <f aca="false">SUMPRODUCT((Data!$A$2:$A$909=DATE(2026,7,26))*EXACT(Data!$B$2:$B$909,$A135)*EXACT(Data!$C$2:$C$909,$B135)*Data!$D$2:$D$909)</f>
        <v>10202</v>
      </c>
      <c r="J135" s="6" t="n">
        <f aca="false">SUM(C135:I135)</f>
        <v>75028</v>
      </c>
      <c r="K135" s="7" t="n">
        <f aca="false">IF(C135=0,"",(I135-C135)/C135)</f>
        <v>-0.276761661704239</v>
      </c>
    </row>
    <row r="136" customFormat="false" ht="15" hidden="false" customHeight="false" outlineLevel="0" collapsed="false">
      <c r="A136" s="3" t="s">
        <v>55</v>
      </c>
      <c r="B136" s="3" t="s">
        <v>40</v>
      </c>
      <c r="C136" s="5" t="n">
        <f aca="false">SUMPRODUCT((Data!$A$2:$A$909=DATE(2026,7,20))*EXACT(Data!$B$2:$B$909,$A136)*EXACT(Data!$C$2:$C$909,$B136)*Data!$D$2:$D$909)</f>
        <v>1338</v>
      </c>
      <c r="D136" s="5" t="n">
        <f aca="false">SUMPRODUCT((Data!$A$2:$A$909=DATE(2026,7,21))*EXACT(Data!$B$2:$B$909,$A136)*EXACT(Data!$C$2:$C$909,$B136)*Data!$D$2:$D$909)</f>
        <v>1329</v>
      </c>
      <c r="E136" s="5" t="n">
        <f aca="false">SUMPRODUCT((Data!$A$2:$A$909=DATE(2026,7,22))*EXACT(Data!$B$2:$B$909,$A136)*EXACT(Data!$C$2:$C$909,$B136)*Data!$D$2:$D$909)</f>
        <v>1055</v>
      </c>
      <c r="F136" s="5" t="n">
        <f aca="false">SUMPRODUCT((Data!$A$2:$A$909=DATE(2026,7,23))*EXACT(Data!$B$2:$B$909,$A136)*EXACT(Data!$C$2:$C$909,$B136)*Data!$D$2:$D$909)</f>
        <v>1114</v>
      </c>
      <c r="G136" s="5" t="n">
        <f aca="false">SUMPRODUCT((Data!$A$2:$A$909=DATE(2026,7,24))*EXACT(Data!$B$2:$B$909,$A136)*EXACT(Data!$C$2:$C$909,$B136)*Data!$D$2:$D$909)</f>
        <v>1218</v>
      </c>
      <c r="H136" s="5" t="n">
        <f aca="false">SUMPRODUCT((Data!$A$2:$A$909=DATE(2026,7,25))*EXACT(Data!$B$2:$B$909,$A136)*EXACT(Data!$C$2:$C$909,$B136)*Data!$D$2:$D$909)</f>
        <v>1062</v>
      </c>
      <c r="I136" s="5" t="n">
        <f aca="false">SUMPRODUCT((Data!$A$2:$A$909=DATE(2026,7,26))*EXACT(Data!$B$2:$B$909,$A136)*EXACT(Data!$C$2:$C$909,$B136)*Data!$D$2:$D$909)</f>
        <v>961</v>
      </c>
      <c r="J136" s="6" t="n">
        <f aca="false">SUM(C136:I136)</f>
        <v>8077</v>
      </c>
      <c r="K136" s="7" t="n">
        <f aca="false">IF(C136=0,"",(I136-C136)/C136)</f>
        <v>-0.281763826606876</v>
      </c>
    </row>
    <row r="137" customFormat="false" ht="15" hidden="false" customHeight="false" outlineLevel="0" collapsed="false">
      <c r="A137" s="3" t="s">
        <v>53</v>
      </c>
      <c r="B137" s="3" t="s">
        <v>14</v>
      </c>
      <c r="C137" s="5" t="n">
        <f aca="false">SUMPRODUCT((Data!$A$2:$A$909=DATE(2026,7,20))*EXACT(Data!$B$2:$B$909,$A137)*EXACT(Data!$C$2:$C$909,$B137)*Data!$D$2:$D$909)</f>
        <v>3</v>
      </c>
      <c r="D137" s="5" t="n">
        <f aca="false">SUMPRODUCT((Data!$A$2:$A$909=DATE(2026,7,21))*EXACT(Data!$B$2:$B$909,$A137)*EXACT(Data!$C$2:$C$909,$B137)*Data!$D$2:$D$909)</f>
        <v>2</v>
      </c>
      <c r="E137" s="5" t="n">
        <f aca="false">SUMPRODUCT((Data!$A$2:$A$909=DATE(2026,7,22))*EXACT(Data!$B$2:$B$909,$A137)*EXACT(Data!$C$2:$C$909,$B137)*Data!$D$2:$D$909)</f>
        <v>2</v>
      </c>
      <c r="F137" s="5" t="n">
        <f aca="false">SUMPRODUCT((Data!$A$2:$A$909=DATE(2026,7,23))*EXACT(Data!$B$2:$B$909,$A137)*EXACT(Data!$C$2:$C$909,$B137)*Data!$D$2:$D$909)</f>
        <v>2</v>
      </c>
      <c r="G137" s="5" t="n">
        <f aca="false">SUMPRODUCT((Data!$A$2:$A$909=DATE(2026,7,24))*EXACT(Data!$B$2:$B$909,$A137)*EXACT(Data!$C$2:$C$909,$B137)*Data!$D$2:$D$909)</f>
        <v>2</v>
      </c>
      <c r="H137" s="5" t="n">
        <f aca="false">SUMPRODUCT((Data!$A$2:$A$909=DATE(2026,7,25))*EXACT(Data!$B$2:$B$909,$A137)*EXACT(Data!$C$2:$C$909,$B137)*Data!$D$2:$D$909)</f>
        <v>2</v>
      </c>
      <c r="I137" s="5" t="n">
        <f aca="false">SUMPRODUCT((Data!$A$2:$A$909=DATE(2026,7,26))*EXACT(Data!$B$2:$B$909,$A137)*EXACT(Data!$C$2:$C$909,$B137)*Data!$D$2:$D$909)</f>
        <v>2</v>
      </c>
      <c r="J137" s="6" t="n">
        <f aca="false">SUM(C137:I137)</f>
        <v>15</v>
      </c>
      <c r="K137" s="7" t="n">
        <f aca="false">IF(C137=0,"",(I137-C137)/C137)</f>
        <v>-0.333333333333333</v>
      </c>
    </row>
    <row r="138" customFormat="false" ht="15" hidden="false" customHeight="false" outlineLevel="0" collapsed="false">
      <c r="A138" s="3" t="s">
        <v>53</v>
      </c>
      <c r="B138" s="3" t="s">
        <v>39</v>
      </c>
      <c r="C138" s="5" t="n">
        <f aca="false">SUMPRODUCT((Data!$A$2:$A$909=DATE(2026,7,20))*EXACT(Data!$B$2:$B$909,$A138)*EXACT(Data!$C$2:$C$909,$B138)*Data!$D$2:$D$909)</f>
        <v>524</v>
      </c>
      <c r="D138" s="5" t="n">
        <f aca="false">SUMPRODUCT((Data!$A$2:$A$909=DATE(2026,7,21))*EXACT(Data!$B$2:$B$909,$A138)*EXACT(Data!$C$2:$C$909,$B138)*Data!$D$2:$D$909)</f>
        <v>605</v>
      </c>
      <c r="E138" s="5" t="n">
        <f aca="false">SUMPRODUCT((Data!$A$2:$A$909=DATE(2026,7,22))*EXACT(Data!$B$2:$B$909,$A138)*EXACT(Data!$C$2:$C$909,$B138)*Data!$D$2:$D$909)</f>
        <v>645</v>
      </c>
      <c r="F138" s="5" t="n">
        <f aca="false">SUMPRODUCT((Data!$A$2:$A$909=DATE(2026,7,23))*EXACT(Data!$B$2:$B$909,$A138)*EXACT(Data!$C$2:$C$909,$B138)*Data!$D$2:$D$909)</f>
        <v>690</v>
      </c>
      <c r="G138" s="5" t="n">
        <f aca="false">SUMPRODUCT((Data!$A$2:$A$909=DATE(2026,7,24))*EXACT(Data!$B$2:$B$909,$A138)*EXACT(Data!$C$2:$C$909,$B138)*Data!$D$2:$D$909)</f>
        <v>703</v>
      </c>
      <c r="H138" s="5" t="n">
        <f aca="false">SUMPRODUCT((Data!$A$2:$A$909=DATE(2026,7,25))*EXACT(Data!$B$2:$B$909,$A138)*EXACT(Data!$C$2:$C$909,$B138)*Data!$D$2:$D$909)</f>
        <v>579</v>
      </c>
      <c r="I138" s="5" t="n">
        <f aca="false">SUMPRODUCT((Data!$A$2:$A$909=DATE(2026,7,26))*EXACT(Data!$B$2:$B$909,$A138)*EXACT(Data!$C$2:$C$909,$B138)*Data!$D$2:$D$909)</f>
        <v>463</v>
      </c>
      <c r="J138" s="6" t="n">
        <f aca="false">SUM(C138:I138)</f>
        <v>4209</v>
      </c>
      <c r="K138" s="7" t="n">
        <f aca="false">IF(C138=0,"",(I138-C138)/C138)</f>
        <v>-0.116412213740458</v>
      </c>
    </row>
    <row r="139" customFormat="false" ht="15" hidden="false" customHeight="false" outlineLevel="0" collapsed="false">
      <c r="A139" s="3" t="s">
        <v>54</v>
      </c>
      <c r="B139" s="3" t="s">
        <v>14</v>
      </c>
      <c r="C139" s="5" t="n">
        <f aca="false">SUMPRODUCT((Data!$A$2:$A$909=DATE(2026,7,20))*EXACT(Data!$B$2:$B$909,$A139)*EXACT(Data!$C$2:$C$909,$B139)*Data!$D$2:$D$909)</f>
        <v>4</v>
      </c>
      <c r="D139" s="5" t="n">
        <f aca="false">SUMPRODUCT((Data!$A$2:$A$909=DATE(2026,7,21))*EXACT(Data!$B$2:$B$909,$A139)*EXACT(Data!$C$2:$C$909,$B139)*Data!$D$2:$D$909)</f>
        <v>3</v>
      </c>
      <c r="E139" s="5" t="n">
        <f aca="false">SUMPRODUCT((Data!$A$2:$A$909=DATE(2026,7,22))*EXACT(Data!$B$2:$B$909,$A139)*EXACT(Data!$C$2:$C$909,$B139)*Data!$D$2:$D$909)</f>
        <v>3</v>
      </c>
      <c r="F139" s="5" t="n">
        <f aca="false">SUMPRODUCT((Data!$A$2:$A$909=DATE(2026,7,23))*EXACT(Data!$B$2:$B$909,$A139)*EXACT(Data!$C$2:$C$909,$B139)*Data!$D$2:$D$909)</f>
        <v>3</v>
      </c>
      <c r="G139" s="5" t="n">
        <f aca="false">SUMPRODUCT((Data!$A$2:$A$909=DATE(2026,7,24))*EXACT(Data!$B$2:$B$909,$A139)*EXACT(Data!$C$2:$C$909,$B139)*Data!$D$2:$D$909)</f>
        <v>4</v>
      </c>
      <c r="H139" s="5" t="n">
        <f aca="false">SUMPRODUCT((Data!$A$2:$A$909=DATE(2026,7,25))*EXACT(Data!$B$2:$B$909,$A139)*EXACT(Data!$C$2:$C$909,$B139)*Data!$D$2:$D$909)</f>
        <v>3</v>
      </c>
      <c r="I139" s="5" t="n">
        <f aca="false">SUMPRODUCT((Data!$A$2:$A$909=DATE(2026,7,26))*EXACT(Data!$B$2:$B$909,$A139)*EXACT(Data!$C$2:$C$909,$B139)*Data!$D$2:$D$909)</f>
        <v>3</v>
      </c>
      <c r="J139" s="6" t="n">
        <f aca="false">SUM(C139:I139)</f>
        <v>23</v>
      </c>
      <c r="K139" s="7" t="n">
        <f aca="false">IF(C139=0,"",(I139-C139)/C139)</f>
        <v>-0.25</v>
      </c>
    </row>
    <row r="140" customFormat="false" ht="15" hidden="false" customHeight="false" outlineLevel="0" collapsed="false">
      <c r="A140" s="3" t="s">
        <v>54</v>
      </c>
      <c r="B140" s="3" t="s">
        <v>38</v>
      </c>
      <c r="C140" s="5" t="n">
        <f aca="false">SUMPRODUCT((Data!$A$2:$A$909=DATE(2026,7,20))*EXACT(Data!$B$2:$B$909,$A140)*EXACT(Data!$C$2:$C$909,$B140)*Data!$D$2:$D$909)</f>
        <v>4204</v>
      </c>
      <c r="D140" s="5" t="n">
        <f aca="false">SUMPRODUCT((Data!$A$2:$A$909=DATE(2026,7,21))*EXACT(Data!$B$2:$B$909,$A140)*EXACT(Data!$C$2:$C$909,$B140)*Data!$D$2:$D$909)</f>
        <v>4586</v>
      </c>
      <c r="E140" s="5" t="n">
        <f aca="false">SUMPRODUCT((Data!$A$2:$A$909=DATE(2026,7,22))*EXACT(Data!$B$2:$B$909,$A140)*EXACT(Data!$C$2:$C$909,$B140)*Data!$D$2:$D$909)</f>
        <v>4916</v>
      </c>
      <c r="F140" s="5" t="n">
        <f aca="false">SUMPRODUCT((Data!$A$2:$A$909=DATE(2026,7,23))*EXACT(Data!$B$2:$B$909,$A140)*EXACT(Data!$C$2:$C$909,$B140)*Data!$D$2:$D$909)</f>
        <v>5229</v>
      </c>
      <c r="G140" s="5" t="n">
        <f aca="false">SUMPRODUCT((Data!$A$2:$A$909=DATE(2026,7,24))*EXACT(Data!$B$2:$B$909,$A140)*EXACT(Data!$C$2:$C$909,$B140)*Data!$D$2:$D$909)</f>
        <v>5266</v>
      </c>
      <c r="H140" s="5" t="n">
        <f aca="false">SUMPRODUCT((Data!$A$2:$A$909=DATE(2026,7,25))*EXACT(Data!$B$2:$B$909,$A140)*EXACT(Data!$C$2:$C$909,$B140)*Data!$D$2:$D$909)</f>
        <v>3861</v>
      </c>
      <c r="I140" s="5" t="n">
        <f aca="false">SUMPRODUCT((Data!$A$2:$A$909=DATE(2026,7,26))*EXACT(Data!$B$2:$B$909,$A140)*EXACT(Data!$C$2:$C$909,$B140)*Data!$D$2:$D$909)</f>
        <v>3542</v>
      </c>
      <c r="J140" s="6" t="n">
        <f aca="false">SUM(C140:I140)</f>
        <v>31604</v>
      </c>
      <c r="K140" s="7" t="n">
        <f aca="false">IF(C140=0,"",(I140-C140)/C140)</f>
        <v>-0.157469077069458</v>
      </c>
    </row>
    <row r="141" customFormat="false" ht="15" hidden="false" customHeight="false" outlineLevel="0" collapsed="false">
      <c r="A141" s="3" t="s">
        <v>54</v>
      </c>
      <c r="B141" s="3" t="s">
        <v>39</v>
      </c>
      <c r="C141" s="5" t="n">
        <f aca="false">SUMPRODUCT((Data!$A$2:$A$909=DATE(2026,7,20))*EXACT(Data!$B$2:$B$909,$A141)*EXACT(Data!$C$2:$C$909,$B141)*Data!$D$2:$D$909)</f>
        <v>8124</v>
      </c>
      <c r="D141" s="5" t="n">
        <f aca="false">SUMPRODUCT((Data!$A$2:$A$909=DATE(2026,7,21))*EXACT(Data!$B$2:$B$909,$A141)*EXACT(Data!$C$2:$C$909,$B141)*Data!$D$2:$D$909)</f>
        <v>8261</v>
      </c>
      <c r="E141" s="5" t="n">
        <f aca="false">SUMPRODUCT((Data!$A$2:$A$909=DATE(2026,7,22))*EXACT(Data!$B$2:$B$909,$A141)*EXACT(Data!$C$2:$C$909,$B141)*Data!$D$2:$D$909)</f>
        <v>7081</v>
      </c>
      <c r="F141" s="5" t="n">
        <f aca="false">SUMPRODUCT((Data!$A$2:$A$909=DATE(2026,7,23))*EXACT(Data!$B$2:$B$909,$A141)*EXACT(Data!$C$2:$C$909,$B141)*Data!$D$2:$D$909)</f>
        <v>6192</v>
      </c>
      <c r="G141" s="5" t="n">
        <f aca="false">SUMPRODUCT((Data!$A$2:$A$909=DATE(2026,7,24))*EXACT(Data!$B$2:$B$909,$A141)*EXACT(Data!$C$2:$C$909,$B141)*Data!$D$2:$D$909)</f>
        <v>5698</v>
      </c>
      <c r="H141" s="5" t="n">
        <f aca="false">SUMPRODUCT((Data!$A$2:$A$909=DATE(2026,7,25))*EXACT(Data!$B$2:$B$909,$A141)*EXACT(Data!$C$2:$C$909,$B141)*Data!$D$2:$D$909)</f>
        <v>4978</v>
      </c>
      <c r="I141" s="5" t="n">
        <f aca="false">SUMPRODUCT((Data!$A$2:$A$909=DATE(2026,7,26))*EXACT(Data!$B$2:$B$909,$A141)*EXACT(Data!$C$2:$C$909,$B141)*Data!$D$2:$D$909)</f>
        <v>4411</v>
      </c>
      <c r="J141" s="6" t="n">
        <f aca="false">SUM(C141:I141)</f>
        <v>44745</v>
      </c>
      <c r="K141" s="7" t="n">
        <f aca="false">IF(C141=0,"",(I141-C141)/C141)</f>
        <v>-0.457040866568193</v>
      </c>
    </row>
    <row r="142" customFormat="false" ht="15" hidden="false" customHeight="false" outlineLevel="0" collapsed="false">
      <c r="A142" s="3" t="s">
        <v>56</v>
      </c>
      <c r="B142" s="3" t="s">
        <v>14</v>
      </c>
      <c r="C142" s="5" t="n">
        <f aca="false">SUMPRODUCT((Data!$A$2:$A$909=DATE(2026,7,20))*EXACT(Data!$B$2:$B$909,$A142)*EXACT(Data!$C$2:$C$909,$B142)*Data!$D$2:$D$909)</f>
        <v>3</v>
      </c>
      <c r="D142" s="5" t="n">
        <f aca="false">SUMPRODUCT((Data!$A$2:$A$909=DATE(2026,7,21))*EXACT(Data!$B$2:$B$909,$A142)*EXACT(Data!$C$2:$C$909,$B142)*Data!$D$2:$D$909)</f>
        <v>2</v>
      </c>
      <c r="E142" s="5" t="n">
        <f aca="false">SUMPRODUCT((Data!$A$2:$A$909=DATE(2026,7,22))*EXACT(Data!$B$2:$B$909,$A142)*EXACT(Data!$C$2:$C$909,$B142)*Data!$D$2:$D$909)</f>
        <v>2</v>
      </c>
      <c r="F142" s="5" t="n">
        <f aca="false">SUMPRODUCT((Data!$A$2:$A$909=DATE(2026,7,23))*EXACT(Data!$B$2:$B$909,$A142)*EXACT(Data!$C$2:$C$909,$B142)*Data!$D$2:$D$909)</f>
        <v>2</v>
      </c>
      <c r="G142" s="5" t="n">
        <f aca="false">SUMPRODUCT((Data!$A$2:$A$909=DATE(2026,7,24))*EXACT(Data!$B$2:$B$909,$A142)*EXACT(Data!$C$2:$C$909,$B142)*Data!$D$2:$D$909)</f>
        <v>2</v>
      </c>
      <c r="H142" s="5" t="n">
        <f aca="false">SUMPRODUCT((Data!$A$2:$A$909=DATE(2026,7,25))*EXACT(Data!$B$2:$B$909,$A142)*EXACT(Data!$C$2:$C$909,$B142)*Data!$D$2:$D$909)</f>
        <v>2</v>
      </c>
      <c r="I142" s="5" t="n">
        <f aca="false">SUMPRODUCT((Data!$A$2:$A$909=DATE(2026,7,26))*EXACT(Data!$B$2:$B$909,$A142)*EXACT(Data!$C$2:$C$909,$B142)*Data!$D$2:$D$909)</f>
        <v>3</v>
      </c>
      <c r="J142" s="6" t="n">
        <f aca="false">SUM(C142:I142)</f>
        <v>16</v>
      </c>
      <c r="K142" s="7" t="n">
        <f aca="false">IF(C142=0,"",(I142-C142)/C142)</f>
        <v>0</v>
      </c>
    </row>
    <row r="143" customFormat="false" ht="15" hidden="false" customHeight="false" outlineLevel="0" collapsed="false">
      <c r="A143" s="3" t="s">
        <v>56</v>
      </c>
      <c r="B143" s="3" t="s">
        <v>39</v>
      </c>
      <c r="C143" s="5" t="n">
        <f aca="false">SUMPRODUCT((Data!$A$2:$A$909=DATE(2026,7,20))*EXACT(Data!$B$2:$B$909,$A143)*EXACT(Data!$C$2:$C$909,$B143)*Data!$D$2:$D$909)</f>
        <v>984</v>
      </c>
      <c r="D143" s="5" t="n">
        <f aca="false">SUMPRODUCT((Data!$A$2:$A$909=DATE(2026,7,21))*EXACT(Data!$B$2:$B$909,$A143)*EXACT(Data!$C$2:$C$909,$B143)*Data!$D$2:$D$909)</f>
        <v>995</v>
      </c>
      <c r="E143" s="5" t="n">
        <f aca="false">SUMPRODUCT((Data!$A$2:$A$909=DATE(2026,7,22))*EXACT(Data!$B$2:$B$909,$A143)*EXACT(Data!$C$2:$C$909,$B143)*Data!$D$2:$D$909)</f>
        <v>1092</v>
      </c>
      <c r="F143" s="5" t="n">
        <f aca="false">SUMPRODUCT((Data!$A$2:$A$909=DATE(2026,7,23))*EXACT(Data!$B$2:$B$909,$A143)*EXACT(Data!$C$2:$C$909,$B143)*Data!$D$2:$D$909)</f>
        <v>1233</v>
      </c>
      <c r="G143" s="5" t="n">
        <f aca="false">SUMPRODUCT((Data!$A$2:$A$909=DATE(2026,7,24))*EXACT(Data!$B$2:$B$909,$A143)*EXACT(Data!$C$2:$C$909,$B143)*Data!$D$2:$D$909)</f>
        <v>1242</v>
      </c>
      <c r="H143" s="5" t="n">
        <f aca="false">SUMPRODUCT((Data!$A$2:$A$909=DATE(2026,7,25))*EXACT(Data!$B$2:$B$909,$A143)*EXACT(Data!$C$2:$C$909,$B143)*Data!$D$2:$D$909)</f>
        <v>1148</v>
      </c>
      <c r="I143" s="5" t="n">
        <f aca="false">SUMPRODUCT((Data!$A$2:$A$909=DATE(2026,7,26))*EXACT(Data!$B$2:$B$909,$A143)*EXACT(Data!$C$2:$C$909,$B143)*Data!$D$2:$D$909)</f>
        <v>1095</v>
      </c>
      <c r="J143" s="6" t="n">
        <f aca="false">SUM(C143:I143)</f>
        <v>7789</v>
      </c>
      <c r="K143" s="7" t="n">
        <f aca="false">IF(C143=0,"",(I143-C143)/C143)</f>
        <v>0.11280487804878</v>
      </c>
    </row>
    <row r="144" customFormat="false" ht="15" hidden="false" customHeight="false" outlineLevel="0" collapsed="false">
      <c r="A144" s="3" t="s">
        <v>57</v>
      </c>
      <c r="B144" s="3" t="s">
        <v>14</v>
      </c>
      <c r="C144" s="5" t="n">
        <f aca="false">SUMPRODUCT((Data!$A$2:$A$909=DATE(2026,7,20))*EXACT(Data!$B$2:$B$909,$A144)*EXACT(Data!$C$2:$C$909,$B144)*Data!$D$2:$D$909)</f>
        <v>2</v>
      </c>
      <c r="D144" s="5" t="n">
        <f aca="false">SUMPRODUCT((Data!$A$2:$A$909=DATE(2026,7,21))*EXACT(Data!$B$2:$B$909,$A144)*EXACT(Data!$C$2:$C$909,$B144)*Data!$D$2:$D$909)</f>
        <v>2</v>
      </c>
      <c r="E144" s="5" t="n">
        <f aca="false">SUMPRODUCT((Data!$A$2:$A$909=DATE(2026,7,22))*EXACT(Data!$B$2:$B$909,$A144)*EXACT(Data!$C$2:$C$909,$B144)*Data!$D$2:$D$909)</f>
        <v>3</v>
      </c>
      <c r="F144" s="5" t="n">
        <f aca="false">SUMPRODUCT((Data!$A$2:$A$909=DATE(2026,7,23))*EXACT(Data!$B$2:$B$909,$A144)*EXACT(Data!$C$2:$C$909,$B144)*Data!$D$2:$D$909)</f>
        <v>2</v>
      </c>
      <c r="G144" s="5" t="n">
        <f aca="false">SUMPRODUCT((Data!$A$2:$A$909=DATE(2026,7,24))*EXACT(Data!$B$2:$B$909,$A144)*EXACT(Data!$C$2:$C$909,$B144)*Data!$D$2:$D$909)</f>
        <v>3</v>
      </c>
      <c r="H144" s="5" t="n">
        <f aca="false">SUMPRODUCT((Data!$A$2:$A$909=DATE(2026,7,25))*EXACT(Data!$B$2:$B$909,$A144)*EXACT(Data!$C$2:$C$909,$B144)*Data!$D$2:$D$909)</f>
        <v>3</v>
      </c>
      <c r="I144" s="5" t="n">
        <f aca="false">SUMPRODUCT((Data!$A$2:$A$909=DATE(2026,7,26))*EXACT(Data!$B$2:$B$909,$A144)*EXACT(Data!$C$2:$C$909,$B144)*Data!$D$2:$D$909)</f>
        <v>2</v>
      </c>
      <c r="J144" s="6" t="n">
        <f aca="false">SUM(C144:I144)</f>
        <v>17</v>
      </c>
      <c r="K144" s="7" t="n">
        <f aca="false">IF(C144=0,"",(I144-C144)/C144)</f>
        <v>0</v>
      </c>
    </row>
    <row r="145" customFormat="false" ht="15" hidden="false" customHeight="false" outlineLevel="0" collapsed="false">
      <c r="A145" s="3" t="s">
        <v>57</v>
      </c>
      <c r="B145" s="3" t="s">
        <v>38</v>
      </c>
      <c r="C145" s="5" t="n">
        <f aca="false">SUMPRODUCT((Data!$A$2:$A$909=DATE(2026,7,20))*EXACT(Data!$B$2:$B$909,$A145)*EXACT(Data!$C$2:$C$909,$B145)*Data!$D$2:$D$909)</f>
        <v>89</v>
      </c>
      <c r="D145" s="5" t="n">
        <f aca="false">SUMPRODUCT((Data!$A$2:$A$909=DATE(2026,7,21))*EXACT(Data!$B$2:$B$909,$A145)*EXACT(Data!$C$2:$C$909,$B145)*Data!$D$2:$D$909)</f>
        <v>71</v>
      </c>
      <c r="E145" s="5" t="n">
        <f aca="false">SUMPRODUCT((Data!$A$2:$A$909=DATE(2026,7,22))*EXACT(Data!$B$2:$B$909,$A145)*EXACT(Data!$C$2:$C$909,$B145)*Data!$D$2:$D$909)</f>
        <v>72</v>
      </c>
      <c r="F145" s="5" t="n">
        <f aca="false">SUMPRODUCT((Data!$A$2:$A$909=DATE(2026,7,23))*EXACT(Data!$B$2:$B$909,$A145)*EXACT(Data!$C$2:$C$909,$B145)*Data!$D$2:$D$909)</f>
        <v>117</v>
      </c>
      <c r="G145" s="5" t="n">
        <f aca="false">SUMPRODUCT((Data!$A$2:$A$909=DATE(2026,7,24))*EXACT(Data!$B$2:$B$909,$A145)*EXACT(Data!$C$2:$C$909,$B145)*Data!$D$2:$D$909)</f>
        <v>115</v>
      </c>
      <c r="H145" s="5" t="n">
        <f aca="false">SUMPRODUCT((Data!$A$2:$A$909=DATE(2026,7,25))*EXACT(Data!$B$2:$B$909,$A145)*EXACT(Data!$C$2:$C$909,$B145)*Data!$D$2:$D$909)</f>
        <v>90</v>
      </c>
      <c r="I145" s="5" t="n">
        <f aca="false">SUMPRODUCT((Data!$A$2:$A$909=DATE(2026,7,26))*EXACT(Data!$B$2:$B$909,$A145)*EXACT(Data!$C$2:$C$909,$B145)*Data!$D$2:$D$909)</f>
        <v>55</v>
      </c>
      <c r="J145" s="6" t="n">
        <f aca="false">SUM(C145:I145)</f>
        <v>609</v>
      </c>
      <c r="K145" s="7" t="n">
        <f aca="false">IF(C145=0,"",(I145-C145)/C145)</f>
        <v>-0.382022471910112</v>
      </c>
    </row>
    <row r="146" customFormat="false" ht="15" hidden="false" customHeight="false" outlineLevel="0" collapsed="false">
      <c r="A146" s="3" t="s">
        <v>57</v>
      </c>
      <c r="B146" s="3" t="s">
        <v>39</v>
      </c>
      <c r="C146" s="5" t="n">
        <f aca="false">SUMPRODUCT((Data!$A$2:$A$909=DATE(2026,7,20))*EXACT(Data!$B$2:$B$909,$A146)*EXACT(Data!$C$2:$C$909,$B146)*Data!$D$2:$D$909)</f>
        <v>1</v>
      </c>
      <c r="D146" s="5" t="n">
        <f aca="false">SUMPRODUCT((Data!$A$2:$A$909=DATE(2026,7,21))*EXACT(Data!$B$2:$B$909,$A146)*EXACT(Data!$C$2:$C$909,$B146)*Data!$D$2:$D$909)</f>
        <v>2</v>
      </c>
      <c r="E146" s="5" t="n">
        <f aca="false">SUMPRODUCT((Data!$A$2:$A$909=DATE(2026,7,22))*EXACT(Data!$B$2:$B$909,$A146)*EXACT(Data!$C$2:$C$909,$B146)*Data!$D$2:$D$909)</f>
        <v>3</v>
      </c>
      <c r="F146" s="5" t="n">
        <f aca="false">SUMPRODUCT((Data!$A$2:$A$909=DATE(2026,7,23))*EXACT(Data!$B$2:$B$909,$A146)*EXACT(Data!$C$2:$C$909,$B146)*Data!$D$2:$D$909)</f>
        <v>3</v>
      </c>
      <c r="G146" s="5" t="n">
        <f aca="false">SUMPRODUCT((Data!$A$2:$A$909=DATE(2026,7,24))*EXACT(Data!$B$2:$B$909,$A146)*EXACT(Data!$C$2:$C$909,$B146)*Data!$D$2:$D$909)</f>
        <v>5</v>
      </c>
      <c r="H146" s="5" t="n">
        <f aca="false">SUMPRODUCT((Data!$A$2:$A$909=DATE(2026,7,25))*EXACT(Data!$B$2:$B$909,$A146)*EXACT(Data!$C$2:$C$909,$B146)*Data!$D$2:$D$909)</f>
        <v>4</v>
      </c>
      <c r="I146" s="5" t="n">
        <f aca="false">SUMPRODUCT((Data!$A$2:$A$909=DATE(2026,7,26))*EXACT(Data!$B$2:$B$909,$A146)*EXACT(Data!$C$2:$C$909,$B146)*Data!$D$2:$D$909)</f>
        <v>1</v>
      </c>
      <c r="J146" s="6" t="n">
        <f aca="false">SUM(C146:I146)</f>
        <v>19</v>
      </c>
      <c r="K146" s="7" t="n">
        <f aca="false">IF(C146=0,"",(I146-C146)/C146)</f>
        <v>0</v>
      </c>
    </row>
    <row r="147" customFormat="false" ht="15" hidden="false" customHeight="false" outlineLevel="0" collapsed="false">
      <c r="A147" s="3" t="s">
        <v>58</v>
      </c>
      <c r="B147" s="3" t="s">
        <v>14</v>
      </c>
      <c r="C147" s="5" t="n">
        <f aca="false">SUMPRODUCT((Data!$A$2:$A$909=DATE(2026,7,20))*EXACT(Data!$B$2:$B$909,$A147)*EXACT(Data!$C$2:$C$909,$B147)*Data!$D$2:$D$909)</f>
        <v>2</v>
      </c>
      <c r="D147" s="5" t="n">
        <f aca="false">SUMPRODUCT((Data!$A$2:$A$909=DATE(2026,7,21))*EXACT(Data!$B$2:$B$909,$A147)*EXACT(Data!$C$2:$C$909,$B147)*Data!$D$2:$D$909)</f>
        <v>2</v>
      </c>
      <c r="E147" s="5" t="n">
        <f aca="false">SUMPRODUCT((Data!$A$2:$A$909=DATE(2026,7,22))*EXACT(Data!$B$2:$B$909,$A147)*EXACT(Data!$C$2:$C$909,$B147)*Data!$D$2:$D$909)</f>
        <v>2</v>
      </c>
      <c r="F147" s="5" t="n">
        <f aca="false">SUMPRODUCT((Data!$A$2:$A$909=DATE(2026,7,23))*EXACT(Data!$B$2:$B$909,$A147)*EXACT(Data!$C$2:$C$909,$B147)*Data!$D$2:$D$909)</f>
        <v>2</v>
      </c>
      <c r="G147" s="5" t="n">
        <f aca="false">SUMPRODUCT((Data!$A$2:$A$909=DATE(2026,7,24))*EXACT(Data!$B$2:$B$909,$A147)*EXACT(Data!$C$2:$C$909,$B147)*Data!$D$2:$D$909)</f>
        <v>2</v>
      </c>
      <c r="H147" s="5" t="n">
        <f aca="false">SUMPRODUCT((Data!$A$2:$A$909=DATE(2026,7,25))*EXACT(Data!$B$2:$B$909,$A147)*EXACT(Data!$C$2:$C$909,$B147)*Data!$D$2:$D$909)</f>
        <v>2</v>
      </c>
      <c r="I147" s="5" t="n">
        <f aca="false">SUMPRODUCT((Data!$A$2:$A$909=DATE(2026,7,26))*EXACT(Data!$B$2:$B$909,$A147)*EXACT(Data!$C$2:$C$909,$B147)*Data!$D$2:$D$909)</f>
        <v>2</v>
      </c>
      <c r="J147" s="6" t="n">
        <f aca="false">SUM(C147:I147)</f>
        <v>14</v>
      </c>
      <c r="K147" s="7" t="n">
        <f aca="false">IF(C147=0,"",(I147-C147)/C147)</f>
        <v>0</v>
      </c>
    </row>
    <row r="148" customFormat="false" ht="15" hidden="false" customHeight="false" outlineLevel="0" collapsed="false">
      <c r="A148" s="3" t="s">
        <v>58</v>
      </c>
      <c r="B148" s="3" t="s">
        <v>39</v>
      </c>
      <c r="C148" s="5" t="n">
        <f aca="false">SUMPRODUCT((Data!$A$2:$A$909=DATE(2026,7,20))*EXACT(Data!$B$2:$B$909,$A148)*EXACT(Data!$C$2:$C$909,$B148)*Data!$D$2:$D$909)</f>
        <v>46</v>
      </c>
      <c r="D148" s="5" t="n">
        <f aca="false">SUMPRODUCT((Data!$A$2:$A$909=DATE(2026,7,21))*EXACT(Data!$B$2:$B$909,$A148)*EXACT(Data!$C$2:$C$909,$B148)*Data!$D$2:$D$909)</f>
        <v>47</v>
      </c>
      <c r="E148" s="5" t="n">
        <f aca="false">SUMPRODUCT((Data!$A$2:$A$909=DATE(2026,7,22))*EXACT(Data!$B$2:$B$909,$A148)*EXACT(Data!$C$2:$C$909,$B148)*Data!$D$2:$D$909)</f>
        <v>59</v>
      </c>
      <c r="F148" s="5" t="n">
        <f aca="false">SUMPRODUCT((Data!$A$2:$A$909=DATE(2026,7,23))*EXACT(Data!$B$2:$B$909,$A148)*EXACT(Data!$C$2:$C$909,$B148)*Data!$D$2:$D$909)</f>
        <v>85</v>
      </c>
      <c r="G148" s="5" t="n">
        <f aca="false">SUMPRODUCT((Data!$A$2:$A$909=DATE(2026,7,24))*EXACT(Data!$B$2:$B$909,$A148)*EXACT(Data!$C$2:$C$909,$B148)*Data!$D$2:$D$909)</f>
        <v>85</v>
      </c>
      <c r="H148" s="5" t="n">
        <f aca="false">SUMPRODUCT((Data!$A$2:$A$909=DATE(2026,7,25))*EXACT(Data!$B$2:$B$909,$A148)*EXACT(Data!$C$2:$C$909,$B148)*Data!$D$2:$D$909)</f>
        <v>67</v>
      </c>
      <c r="I148" s="5" t="n">
        <f aca="false">SUMPRODUCT((Data!$A$2:$A$909=DATE(2026,7,26))*EXACT(Data!$B$2:$B$909,$A148)*EXACT(Data!$C$2:$C$909,$B148)*Data!$D$2:$D$909)</f>
        <v>55</v>
      </c>
      <c r="J148" s="6" t="n">
        <f aca="false">SUM(C148:I148)</f>
        <v>444</v>
      </c>
      <c r="K148" s="7" t="n">
        <f aca="false">IF(C148=0,"",(I148-C148)/C148)</f>
        <v>0.195652173913044</v>
      </c>
    </row>
    <row r="149" customFormat="false" ht="15" hidden="false" customHeight="false" outlineLevel="0" collapsed="false">
      <c r="A149" s="3" t="s">
        <v>59</v>
      </c>
      <c r="B149" s="3" t="s">
        <v>14</v>
      </c>
      <c r="C149" s="5" t="n">
        <f aca="false">SUMPRODUCT((Data!$A$2:$A$909=DATE(2026,7,20))*EXACT(Data!$B$2:$B$909,$A149)*EXACT(Data!$C$2:$C$909,$B149)*Data!$D$2:$D$909)</f>
        <v>3</v>
      </c>
      <c r="D149" s="5" t="n">
        <f aca="false">SUMPRODUCT((Data!$A$2:$A$909=DATE(2026,7,21))*EXACT(Data!$B$2:$B$909,$A149)*EXACT(Data!$C$2:$C$909,$B149)*Data!$D$2:$D$909)</f>
        <v>3</v>
      </c>
      <c r="E149" s="5" t="n">
        <f aca="false">SUMPRODUCT((Data!$A$2:$A$909=DATE(2026,7,22))*EXACT(Data!$B$2:$B$909,$A149)*EXACT(Data!$C$2:$C$909,$B149)*Data!$D$2:$D$909)</f>
        <v>2</v>
      </c>
      <c r="F149" s="5" t="n">
        <f aca="false">SUMPRODUCT((Data!$A$2:$A$909=DATE(2026,7,23))*EXACT(Data!$B$2:$B$909,$A149)*EXACT(Data!$C$2:$C$909,$B149)*Data!$D$2:$D$909)</f>
        <v>3</v>
      </c>
      <c r="G149" s="5" t="n">
        <f aca="false">SUMPRODUCT((Data!$A$2:$A$909=DATE(2026,7,24))*EXACT(Data!$B$2:$B$909,$A149)*EXACT(Data!$C$2:$C$909,$B149)*Data!$D$2:$D$909)</f>
        <v>3</v>
      </c>
      <c r="H149" s="5" t="n">
        <f aca="false">SUMPRODUCT((Data!$A$2:$A$909=DATE(2026,7,25))*EXACT(Data!$B$2:$B$909,$A149)*EXACT(Data!$C$2:$C$909,$B149)*Data!$D$2:$D$909)</f>
        <v>2</v>
      </c>
      <c r="I149" s="5" t="n">
        <f aca="false">SUMPRODUCT((Data!$A$2:$A$909=DATE(2026,7,26))*EXACT(Data!$B$2:$B$909,$A149)*EXACT(Data!$C$2:$C$909,$B149)*Data!$D$2:$D$909)</f>
        <v>0</v>
      </c>
      <c r="J149" s="6" t="n">
        <f aca="false">SUM(C149:I149)</f>
        <v>16</v>
      </c>
      <c r="K149" s="7" t="n">
        <f aca="false">IF(C149=0,"",(I149-C149)/C149)</f>
        <v>-1</v>
      </c>
    </row>
    <row r="150" customFormat="false" ht="15" hidden="false" customHeight="false" outlineLevel="0" collapsed="false">
      <c r="A150" s="3" t="s">
        <v>59</v>
      </c>
      <c r="B150" s="3" t="s">
        <v>39</v>
      </c>
      <c r="C150" s="5" t="n">
        <f aca="false">SUMPRODUCT((Data!$A$2:$A$909=DATE(2026,7,20))*EXACT(Data!$B$2:$B$909,$A150)*EXACT(Data!$C$2:$C$909,$B150)*Data!$D$2:$D$909)</f>
        <v>4</v>
      </c>
      <c r="D150" s="5" t="n">
        <f aca="false">SUMPRODUCT((Data!$A$2:$A$909=DATE(2026,7,21))*EXACT(Data!$B$2:$B$909,$A150)*EXACT(Data!$C$2:$C$909,$B150)*Data!$D$2:$D$909)</f>
        <v>6</v>
      </c>
      <c r="E150" s="5" t="n">
        <f aca="false">SUMPRODUCT((Data!$A$2:$A$909=DATE(2026,7,22))*EXACT(Data!$B$2:$B$909,$A150)*EXACT(Data!$C$2:$C$909,$B150)*Data!$D$2:$D$909)</f>
        <v>7</v>
      </c>
      <c r="F150" s="5" t="n">
        <f aca="false">SUMPRODUCT((Data!$A$2:$A$909=DATE(2026,7,23))*EXACT(Data!$B$2:$B$909,$A150)*EXACT(Data!$C$2:$C$909,$B150)*Data!$D$2:$D$909)</f>
        <v>4</v>
      </c>
      <c r="G150" s="5" t="n">
        <f aca="false">SUMPRODUCT((Data!$A$2:$A$909=DATE(2026,7,24))*EXACT(Data!$B$2:$B$909,$A150)*EXACT(Data!$C$2:$C$909,$B150)*Data!$D$2:$D$909)</f>
        <v>4</v>
      </c>
      <c r="H150" s="5" t="n">
        <f aca="false">SUMPRODUCT((Data!$A$2:$A$909=DATE(2026,7,25))*EXACT(Data!$B$2:$B$909,$A150)*EXACT(Data!$C$2:$C$909,$B150)*Data!$D$2:$D$909)</f>
        <v>3</v>
      </c>
      <c r="I150" s="5" t="n">
        <f aca="false">SUMPRODUCT((Data!$A$2:$A$909=DATE(2026,7,26))*EXACT(Data!$B$2:$B$909,$A150)*EXACT(Data!$C$2:$C$909,$B150)*Data!$D$2:$D$909)</f>
        <v>0</v>
      </c>
      <c r="J150" s="6" t="n">
        <f aca="false">SUM(C150:I150)</f>
        <v>28</v>
      </c>
      <c r="K150" s="7" t="n">
        <f aca="false">IF(C150=0,"",(I150-C150)/C150)</f>
        <v>-1</v>
      </c>
    </row>
    <row r="151" customFormat="false" ht="15" hidden="false" customHeight="false" outlineLevel="0" collapsed="false">
      <c r="A151" s="3" t="s">
        <v>60</v>
      </c>
      <c r="B151" s="3" t="s">
        <v>14</v>
      </c>
      <c r="C151" s="5" t="n">
        <f aca="false">SUMPRODUCT((Data!$A$2:$A$909=DATE(2026,7,20))*EXACT(Data!$B$2:$B$909,$A151)*EXACT(Data!$C$2:$C$909,$B151)*Data!$D$2:$D$909)</f>
        <v>4</v>
      </c>
      <c r="D151" s="5" t="n">
        <f aca="false">SUMPRODUCT((Data!$A$2:$A$909=DATE(2026,7,21))*EXACT(Data!$B$2:$B$909,$A151)*EXACT(Data!$C$2:$C$909,$B151)*Data!$D$2:$D$909)</f>
        <v>3</v>
      </c>
      <c r="E151" s="5" t="n">
        <f aca="false">SUMPRODUCT((Data!$A$2:$A$909=DATE(2026,7,22))*EXACT(Data!$B$2:$B$909,$A151)*EXACT(Data!$C$2:$C$909,$B151)*Data!$D$2:$D$909)</f>
        <v>3</v>
      </c>
      <c r="F151" s="5" t="n">
        <f aca="false">SUMPRODUCT((Data!$A$2:$A$909=DATE(2026,7,23))*EXACT(Data!$B$2:$B$909,$A151)*EXACT(Data!$C$2:$C$909,$B151)*Data!$D$2:$D$909)</f>
        <v>3</v>
      </c>
      <c r="G151" s="5" t="n">
        <f aca="false">SUMPRODUCT((Data!$A$2:$A$909=DATE(2026,7,24))*EXACT(Data!$B$2:$B$909,$A151)*EXACT(Data!$C$2:$C$909,$B151)*Data!$D$2:$D$909)</f>
        <v>3</v>
      </c>
      <c r="H151" s="5" t="n">
        <f aca="false">SUMPRODUCT((Data!$A$2:$A$909=DATE(2026,7,25))*EXACT(Data!$B$2:$B$909,$A151)*EXACT(Data!$C$2:$C$909,$B151)*Data!$D$2:$D$909)</f>
        <v>3</v>
      </c>
      <c r="I151" s="5" t="n">
        <f aca="false">SUMPRODUCT((Data!$A$2:$A$909=DATE(2026,7,26))*EXACT(Data!$B$2:$B$909,$A151)*EXACT(Data!$C$2:$C$909,$B151)*Data!$D$2:$D$909)</f>
        <v>3</v>
      </c>
      <c r="J151" s="6" t="n">
        <f aca="false">SUM(C151:I151)</f>
        <v>22</v>
      </c>
      <c r="K151" s="7" t="n">
        <f aca="false">IF(C151=0,"",(I151-C151)/C151)</f>
        <v>-0.25</v>
      </c>
    </row>
    <row r="152" customFormat="false" ht="15" hidden="false" customHeight="false" outlineLevel="0" collapsed="false">
      <c r="A152" s="3" t="s">
        <v>60</v>
      </c>
      <c r="B152" s="3" t="s">
        <v>38</v>
      </c>
      <c r="C152" s="5" t="n">
        <f aca="false">SUMPRODUCT((Data!$A$2:$A$909=DATE(2026,7,20))*EXACT(Data!$B$2:$B$909,$A152)*EXACT(Data!$C$2:$C$909,$B152)*Data!$D$2:$D$909)</f>
        <v>772</v>
      </c>
      <c r="D152" s="5" t="n">
        <f aca="false">SUMPRODUCT((Data!$A$2:$A$909=DATE(2026,7,21))*EXACT(Data!$B$2:$B$909,$A152)*EXACT(Data!$C$2:$C$909,$B152)*Data!$D$2:$D$909)</f>
        <v>729</v>
      </c>
      <c r="E152" s="5" t="n">
        <f aca="false">SUMPRODUCT((Data!$A$2:$A$909=DATE(2026,7,22))*EXACT(Data!$B$2:$B$909,$A152)*EXACT(Data!$C$2:$C$909,$B152)*Data!$D$2:$D$909)</f>
        <v>635</v>
      </c>
      <c r="F152" s="5" t="n">
        <f aca="false">SUMPRODUCT((Data!$A$2:$A$909=DATE(2026,7,23))*EXACT(Data!$B$2:$B$909,$A152)*EXACT(Data!$C$2:$C$909,$B152)*Data!$D$2:$D$909)</f>
        <v>665</v>
      </c>
      <c r="G152" s="5" t="n">
        <f aca="false">SUMPRODUCT((Data!$A$2:$A$909=DATE(2026,7,24))*EXACT(Data!$B$2:$B$909,$A152)*EXACT(Data!$C$2:$C$909,$B152)*Data!$D$2:$D$909)</f>
        <v>613</v>
      </c>
      <c r="H152" s="5" t="n">
        <f aca="false">SUMPRODUCT((Data!$A$2:$A$909=DATE(2026,7,25))*EXACT(Data!$B$2:$B$909,$A152)*EXACT(Data!$C$2:$C$909,$B152)*Data!$D$2:$D$909)</f>
        <v>599</v>
      </c>
      <c r="I152" s="5" t="n">
        <f aca="false">SUMPRODUCT((Data!$A$2:$A$909=DATE(2026,7,26))*EXACT(Data!$B$2:$B$909,$A152)*EXACT(Data!$C$2:$C$909,$B152)*Data!$D$2:$D$909)</f>
        <v>603</v>
      </c>
      <c r="J152" s="6" t="n">
        <f aca="false">SUM(C152:I152)</f>
        <v>4616</v>
      </c>
      <c r="K152" s="7" t="n">
        <f aca="false">IF(C152=0,"",(I152-C152)/C152)</f>
        <v>-0.218911917098446</v>
      </c>
    </row>
    <row r="153" customFormat="false" ht="15" hidden="false" customHeight="false" outlineLevel="0" collapsed="false">
      <c r="A153" s="3" t="s">
        <v>60</v>
      </c>
      <c r="B153" s="3" t="s">
        <v>39</v>
      </c>
      <c r="C153" s="5" t="n">
        <f aca="false">SUMPRODUCT((Data!$A$2:$A$909=DATE(2026,7,20))*EXACT(Data!$B$2:$B$909,$A153)*EXACT(Data!$C$2:$C$909,$B153)*Data!$D$2:$D$909)</f>
        <v>1547</v>
      </c>
      <c r="D153" s="5" t="n">
        <f aca="false">SUMPRODUCT((Data!$A$2:$A$909=DATE(2026,7,21))*EXACT(Data!$B$2:$B$909,$A153)*EXACT(Data!$C$2:$C$909,$B153)*Data!$D$2:$D$909)</f>
        <v>1501</v>
      </c>
      <c r="E153" s="5" t="n">
        <f aca="false">SUMPRODUCT((Data!$A$2:$A$909=DATE(2026,7,22))*EXACT(Data!$B$2:$B$909,$A153)*EXACT(Data!$C$2:$C$909,$B153)*Data!$D$2:$D$909)</f>
        <v>1364</v>
      </c>
      <c r="F153" s="5" t="n">
        <f aca="false">SUMPRODUCT((Data!$A$2:$A$909=DATE(2026,7,23))*EXACT(Data!$B$2:$B$909,$A153)*EXACT(Data!$C$2:$C$909,$B153)*Data!$D$2:$D$909)</f>
        <v>1300</v>
      </c>
      <c r="G153" s="5" t="n">
        <f aca="false">SUMPRODUCT((Data!$A$2:$A$909=DATE(2026,7,24))*EXACT(Data!$B$2:$B$909,$A153)*EXACT(Data!$C$2:$C$909,$B153)*Data!$D$2:$D$909)</f>
        <v>1278</v>
      </c>
      <c r="H153" s="5" t="n">
        <f aca="false">SUMPRODUCT((Data!$A$2:$A$909=DATE(2026,7,25))*EXACT(Data!$B$2:$B$909,$A153)*EXACT(Data!$C$2:$C$909,$B153)*Data!$D$2:$D$909)</f>
        <v>1212</v>
      </c>
      <c r="I153" s="5" t="n">
        <f aca="false">SUMPRODUCT((Data!$A$2:$A$909=DATE(2026,7,26))*EXACT(Data!$B$2:$B$909,$A153)*EXACT(Data!$C$2:$C$909,$B153)*Data!$D$2:$D$909)</f>
        <v>1202</v>
      </c>
      <c r="J153" s="6" t="n">
        <f aca="false">SUM(C153:I153)</f>
        <v>9404</v>
      </c>
      <c r="K153" s="7" t="n">
        <f aca="false">IF(C153=0,"",(I153-C153)/C153)</f>
        <v>-0.223012281835811</v>
      </c>
    </row>
    <row r="154" customFormat="false" ht="15" hidden="false" customHeight="false" outlineLevel="0" collapsed="false">
      <c r="A154" s="3" t="s">
        <v>61</v>
      </c>
      <c r="B154" s="3" t="s">
        <v>14</v>
      </c>
      <c r="C154" s="5" t="n">
        <f aca="false">SUMPRODUCT((Data!$A$2:$A$909=DATE(2026,7,20))*EXACT(Data!$B$2:$B$909,$A154)*EXACT(Data!$C$2:$C$909,$B154)*Data!$D$2:$D$909)</f>
        <v>4</v>
      </c>
      <c r="D154" s="5" t="n">
        <f aca="false">SUMPRODUCT((Data!$A$2:$A$909=DATE(2026,7,21))*EXACT(Data!$B$2:$B$909,$A154)*EXACT(Data!$C$2:$C$909,$B154)*Data!$D$2:$D$909)</f>
        <v>3</v>
      </c>
      <c r="E154" s="5" t="n">
        <f aca="false">SUMPRODUCT((Data!$A$2:$A$909=DATE(2026,7,22))*EXACT(Data!$B$2:$B$909,$A154)*EXACT(Data!$C$2:$C$909,$B154)*Data!$D$2:$D$909)</f>
        <v>3</v>
      </c>
      <c r="F154" s="5" t="n">
        <f aca="false">SUMPRODUCT((Data!$A$2:$A$909=DATE(2026,7,23))*EXACT(Data!$B$2:$B$909,$A154)*EXACT(Data!$C$2:$C$909,$B154)*Data!$D$2:$D$909)</f>
        <v>3</v>
      </c>
      <c r="G154" s="5" t="n">
        <f aca="false">SUMPRODUCT((Data!$A$2:$A$909=DATE(2026,7,24))*EXACT(Data!$B$2:$B$909,$A154)*EXACT(Data!$C$2:$C$909,$B154)*Data!$D$2:$D$909)</f>
        <v>3</v>
      </c>
      <c r="H154" s="5" t="n">
        <f aca="false">SUMPRODUCT((Data!$A$2:$A$909=DATE(2026,7,25))*EXACT(Data!$B$2:$B$909,$A154)*EXACT(Data!$C$2:$C$909,$B154)*Data!$D$2:$D$909)</f>
        <v>3</v>
      </c>
      <c r="I154" s="5" t="n">
        <f aca="false">SUMPRODUCT((Data!$A$2:$A$909=DATE(2026,7,26))*EXACT(Data!$B$2:$B$909,$A154)*EXACT(Data!$C$2:$C$909,$B154)*Data!$D$2:$D$909)</f>
        <v>2</v>
      </c>
      <c r="J154" s="6" t="n">
        <f aca="false">SUM(C154:I154)</f>
        <v>21</v>
      </c>
      <c r="K154" s="7" t="n">
        <f aca="false">IF(C154=0,"",(I154-C154)/C154)</f>
        <v>-0.5</v>
      </c>
    </row>
    <row r="155" customFormat="false" ht="15" hidden="false" customHeight="false" outlineLevel="0" collapsed="false">
      <c r="A155" s="3" t="s">
        <v>61</v>
      </c>
      <c r="B155" s="3" t="s">
        <v>38</v>
      </c>
      <c r="C155" s="5" t="n">
        <f aca="false">SUMPRODUCT((Data!$A$2:$A$909=DATE(2026,7,20))*EXACT(Data!$B$2:$B$909,$A155)*EXACT(Data!$C$2:$C$909,$B155)*Data!$D$2:$D$909)</f>
        <v>44</v>
      </c>
      <c r="D155" s="5" t="n">
        <f aca="false">SUMPRODUCT((Data!$A$2:$A$909=DATE(2026,7,21))*EXACT(Data!$B$2:$B$909,$A155)*EXACT(Data!$C$2:$C$909,$B155)*Data!$D$2:$D$909)</f>
        <v>51</v>
      </c>
      <c r="E155" s="5" t="n">
        <f aca="false">SUMPRODUCT((Data!$A$2:$A$909=DATE(2026,7,22))*EXACT(Data!$B$2:$B$909,$A155)*EXACT(Data!$C$2:$C$909,$B155)*Data!$D$2:$D$909)</f>
        <v>60</v>
      </c>
      <c r="F155" s="5" t="n">
        <f aca="false">SUMPRODUCT((Data!$A$2:$A$909=DATE(2026,7,23))*EXACT(Data!$B$2:$B$909,$A155)*EXACT(Data!$C$2:$C$909,$B155)*Data!$D$2:$D$909)</f>
        <v>37</v>
      </c>
      <c r="G155" s="5" t="n">
        <f aca="false">SUMPRODUCT((Data!$A$2:$A$909=DATE(2026,7,24))*EXACT(Data!$B$2:$B$909,$A155)*EXACT(Data!$C$2:$C$909,$B155)*Data!$D$2:$D$909)</f>
        <v>53</v>
      </c>
      <c r="H155" s="5" t="n">
        <f aca="false">SUMPRODUCT((Data!$A$2:$A$909=DATE(2026,7,25))*EXACT(Data!$B$2:$B$909,$A155)*EXACT(Data!$C$2:$C$909,$B155)*Data!$D$2:$D$909)</f>
        <v>35</v>
      </c>
      <c r="I155" s="5" t="n">
        <f aca="false">SUMPRODUCT((Data!$A$2:$A$909=DATE(2026,7,26))*EXACT(Data!$B$2:$B$909,$A155)*EXACT(Data!$C$2:$C$909,$B155)*Data!$D$2:$D$909)</f>
        <v>22</v>
      </c>
      <c r="J155" s="6" t="n">
        <f aca="false">SUM(C155:I155)</f>
        <v>302</v>
      </c>
      <c r="K155" s="7" t="n">
        <f aca="false">IF(C155=0,"",(I155-C155)/C155)</f>
        <v>-0.5</v>
      </c>
    </row>
    <row r="156" customFormat="false" ht="15" hidden="false" customHeight="false" outlineLevel="0" collapsed="false">
      <c r="A156" s="3" t="s">
        <v>61</v>
      </c>
      <c r="B156" s="3" t="s">
        <v>39</v>
      </c>
      <c r="C156" s="5" t="n">
        <f aca="false">SUMPRODUCT((Data!$A$2:$A$909=DATE(2026,7,20))*EXACT(Data!$B$2:$B$909,$A156)*EXACT(Data!$C$2:$C$909,$B156)*Data!$D$2:$D$909)</f>
        <v>80</v>
      </c>
      <c r="D156" s="5" t="n">
        <f aca="false">SUMPRODUCT((Data!$A$2:$A$909=DATE(2026,7,21))*EXACT(Data!$B$2:$B$909,$A156)*EXACT(Data!$C$2:$C$909,$B156)*Data!$D$2:$D$909)</f>
        <v>95</v>
      </c>
      <c r="E156" s="5" t="n">
        <f aca="false">SUMPRODUCT((Data!$A$2:$A$909=DATE(2026,7,22))*EXACT(Data!$B$2:$B$909,$A156)*EXACT(Data!$C$2:$C$909,$B156)*Data!$D$2:$D$909)</f>
        <v>111</v>
      </c>
      <c r="F156" s="5" t="n">
        <f aca="false">SUMPRODUCT((Data!$A$2:$A$909=DATE(2026,7,23))*EXACT(Data!$B$2:$B$909,$A156)*EXACT(Data!$C$2:$C$909,$B156)*Data!$D$2:$D$909)</f>
        <v>97</v>
      </c>
      <c r="G156" s="5" t="n">
        <f aca="false">SUMPRODUCT((Data!$A$2:$A$909=DATE(2026,7,24))*EXACT(Data!$B$2:$B$909,$A156)*EXACT(Data!$C$2:$C$909,$B156)*Data!$D$2:$D$909)</f>
        <v>90</v>
      </c>
      <c r="H156" s="5" t="n">
        <f aca="false">SUMPRODUCT((Data!$A$2:$A$909=DATE(2026,7,25))*EXACT(Data!$B$2:$B$909,$A156)*EXACT(Data!$C$2:$C$909,$B156)*Data!$D$2:$D$909)</f>
        <v>88</v>
      </c>
      <c r="I156" s="5" t="n">
        <f aca="false">SUMPRODUCT((Data!$A$2:$A$909=DATE(2026,7,26))*EXACT(Data!$B$2:$B$909,$A156)*EXACT(Data!$C$2:$C$909,$B156)*Data!$D$2:$D$909)</f>
        <v>57</v>
      </c>
      <c r="J156" s="6" t="n">
        <f aca="false">SUM(C156:I156)</f>
        <v>618</v>
      </c>
      <c r="K156" s="7" t="n">
        <f aca="false">IF(C156=0,"",(I156-C156)/C156)</f>
        <v>-0.2875</v>
      </c>
    </row>
    <row r="157" customFormat="false" ht="15" hidden="false" customHeight="false" outlineLevel="0" collapsed="false">
      <c r="A157" s="3" t="s">
        <v>62</v>
      </c>
      <c r="B157" s="3" t="s">
        <v>14</v>
      </c>
      <c r="C157" s="5" t="n">
        <f aca="false">SUMPRODUCT((Data!$A$2:$A$909=DATE(2026,7,20))*EXACT(Data!$B$2:$B$909,$A157)*EXACT(Data!$C$2:$C$909,$B157)*Data!$D$2:$D$909)</f>
        <v>1</v>
      </c>
      <c r="D157" s="5" t="n">
        <f aca="false">SUMPRODUCT((Data!$A$2:$A$909=DATE(2026,7,21))*EXACT(Data!$B$2:$B$909,$A157)*EXACT(Data!$C$2:$C$909,$B157)*Data!$D$2:$D$909)</f>
        <v>1</v>
      </c>
      <c r="E157" s="5" t="n">
        <f aca="false">SUMPRODUCT((Data!$A$2:$A$909=DATE(2026,7,22))*EXACT(Data!$B$2:$B$909,$A157)*EXACT(Data!$C$2:$C$909,$B157)*Data!$D$2:$D$909)</f>
        <v>1</v>
      </c>
      <c r="F157" s="5" t="n">
        <f aca="false">SUMPRODUCT((Data!$A$2:$A$909=DATE(2026,7,23))*EXACT(Data!$B$2:$B$909,$A157)*EXACT(Data!$C$2:$C$909,$B157)*Data!$D$2:$D$909)</f>
        <v>1</v>
      </c>
      <c r="G157" s="5" t="n">
        <f aca="false">SUMPRODUCT((Data!$A$2:$A$909=DATE(2026,7,24))*EXACT(Data!$B$2:$B$909,$A157)*EXACT(Data!$C$2:$C$909,$B157)*Data!$D$2:$D$909)</f>
        <v>1</v>
      </c>
      <c r="H157" s="5" t="n">
        <f aca="false">SUMPRODUCT((Data!$A$2:$A$909=DATE(2026,7,25))*EXACT(Data!$B$2:$B$909,$A157)*EXACT(Data!$C$2:$C$909,$B157)*Data!$D$2:$D$909)</f>
        <v>1</v>
      </c>
      <c r="I157" s="5" t="n">
        <f aca="false">SUMPRODUCT((Data!$A$2:$A$909=DATE(2026,7,26))*EXACT(Data!$B$2:$B$909,$A157)*EXACT(Data!$C$2:$C$909,$B157)*Data!$D$2:$D$909)</f>
        <v>1</v>
      </c>
      <c r="J157" s="6" t="n">
        <f aca="false">SUM(C157:I157)</f>
        <v>7</v>
      </c>
      <c r="K157" s="7" t="n">
        <f aca="false">IF(C157=0,"",(I157-C157)/C157)</f>
        <v>0</v>
      </c>
    </row>
    <row r="158" customFormat="false" ht="15" hidden="false" customHeight="false" outlineLevel="0" collapsed="false">
      <c r="A158" s="3" t="s">
        <v>62</v>
      </c>
      <c r="B158" s="3" t="s">
        <v>38</v>
      </c>
      <c r="C158" s="5" t="n">
        <f aca="false">SUMPRODUCT((Data!$A$2:$A$909=DATE(2026,7,20))*EXACT(Data!$B$2:$B$909,$A158)*EXACT(Data!$C$2:$C$909,$B158)*Data!$D$2:$D$909)</f>
        <v>4152</v>
      </c>
      <c r="D158" s="5" t="n">
        <f aca="false">SUMPRODUCT((Data!$A$2:$A$909=DATE(2026,7,21))*EXACT(Data!$B$2:$B$909,$A158)*EXACT(Data!$C$2:$C$909,$B158)*Data!$D$2:$D$909)</f>
        <v>4001</v>
      </c>
      <c r="E158" s="5" t="n">
        <f aca="false">SUMPRODUCT((Data!$A$2:$A$909=DATE(2026,7,22))*EXACT(Data!$B$2:$B$909,$A158)*EXACT(Data!$C$2:$C$909,$B158)*Data!$D$2:$D$909)</f>
        <v>3836</v>
      </c>
      <c r="F158" s="5" t="n">
        <f aca="false">SUMPRODUCT((Data!$A$2:$A$909=DATE(2026,7,23))*EXACT(Data!$B$2:$B$909,$A158)*EXACT(Data!$C$2:$C$909,$B158)*Data!$D$2:$D$909)</f>
        <v>3602</v>
      </c>
      <c r="G158" s="5" t="n">
        <f aca="false">SUMPRODUCT((Data!$A$2:$A$909=DATE(2026,7,24))*EXACT(Data!$B$2:$B$909,$A158)*EXACT(Data!$C$2:$C$909,$B158)*Data!$D$2:$D$909)</f>
        <v>3265</v>
      </c>
      <c r="H158" s="5" t="n">
        <f aca="false">SUMPRODUCT((Data!$A$2:$A$909=DATE(2026,7,25))*EXACT(Data!$B$2:$B$909,$A158)*EXACT(Data!$C$2:$C$909,$B158)*Data!$D$2:$D$909)</f>
        <v>2530</v>
      </c>
      <c r="I158" s="5" t="n">
        <f aca="false">SUMPRODUCT((Data!$A$2:$A$909=DATE(2026,7,26))*EXACT(Data!$B$2:$B$909,$A158)*EXACT(Data!$C$2:$C$909,$B158)*Data!$D$2:$D$909)</f>
        <v>2583</v>
      </c>
      <c r="J158" s="6" t="n">
        <f aca="false">SUM(C158:I158)</f>
        <v>23969</v>
      </c>
      <c r="K158" s="7" t="n">
        <f aca="false">IF(C158=0,"",(I158-C158)/C158)</f>
        <v>-0.377890173410405</v>
      </c>
    </row>
    <row r="159" customFormat="false" ht="15" hidden="false" customHeight="false" outlineLevel="0" collapsed="false">
      <c r="A159" s="3" t="s">
        <v>62</v>
      </c>
      <c r="B159" s="3" t="s">
        <v>39</v>
      </c>
      <c r="C159" s="5" t="n">
        <f aca="false">SUMPRODUCT((Data!$A$2:$A$909=DATE(2026,7,20))*EXACT(Data!$B$2:$B$909,$A159)*EXACT(Data!$C$2:$C$909,$B159)*Data!$D$2:$D$909)</f>
        <v>593</v>
      </c>
      <c r="D159" s="5" t="n">
        <f aca="false">SUMPRODUCT((Data!$A$2:$A$909=DATE(2026,7,21))*EXACT(Data!$B$2:$B$909,$A159)*EXACT(Data!$C$2:$C$909,$B159)*Data!$D$2:$D$909)</f>
        <v>546</v>
      </c>
      <c r="E159" s="5" t="n">
        <f aca="false">SUMPRODUCT((Data!$A$2:$A$909=DATE(2026,7,22))*EXACT(Data!$B$2:$B$909,$A159)*EXACT(Data!$C$2:$C$909,$B159)*Data!$D$2:$D$909)</f>
        <v>432</v>
      </c>
      <c r="F159" s="5" t="n">
        <f aca="false">SUMPRODUCT((Data!$A$2:$A$909=DATE(2026,7,23))*EXACT(Data!$B$2:$B$909,$A159)*EXACT(Data!$C$2:$C$909,$B159)*Data!$D$2:$D$909)</f>
        <v>322</v>
      </c>
      <c r="G159" s="5" t="n">
        <f aca="false">SUMPRODUCT((Data!$A$2:$A$909=DATE(2026,7,24))*EXACT(Data!$B$2:$B$909,$A159)*EXACT(Data!$C$2:$C$909,$B159)*Data!$D$2:$D$909)</f>
        <v>332</v>
      </c>
      <c r="H159" s="5" t="n">
        <f aca="false">SUMPRODUCT((Data!$A$2:$A$909=DATE(2026,7,25))*EXACT(Data!$B$2:$B$909,$A159)*EXACT(Data!$C$2:$C$909,$B159)*Data!$D$2:$D$909)</f>
        <v>246</v>
      </c>
      <c r="I159" s="5" t="n">
        <f aca="false">SUMPRODUCT((Data!$A$2:$A$909=DATE(2026,7,26))*EXACT(Data!$B$2:$B$909,$A159)*EXACT(Data!$C$2:$C$909,$B159)*Data!$D$2:$D$909)</f>
        <v>253</v>
      </c>
      <c r="J159" s="6" t="n">
        <f aca="false">SUM(C159:I159)</f>
        <v>2724</v>
      </c>
      <c r="K159" s="7" t="n">
        <f aca="false">IF(C159=0,"",(I159-C159)/C159)</f>
        <v>-0.573355817875211</v>
      </c>
    </row>
    <row r="160" customFormat="false" ht="15" hidden="false" customHeight="false" outlineLevel="0" collapsed="false">
      <c r="A160" s="3" t="s">
        <v>63</v>
      </c>
      <c r="B160" s="3" t="s">
        <v>40</v>
      </c>
      <c r="C160" s="5" t="n">
        <f aca="false">SUMPRODUCT((Data!$A$2:$A$909=DATE(2026,7,20))*EXACT(Data!$B$2:$B$909,$A160)*EXACT(Data!$C$2:$C$909,$B160)*Data!$D$2:$D$909)</f>
        <v>5836</v>
      </c>
      <c r="D160" s="5" t="n">
        <f aca="false">SUMPRODUCT((Data!$A$2:$A$909=DATE(2026,7,21))*EXACT(Data!$B$2:$B$909,$A160)*EXACT(Data!$C$2:$C$909,$B160)*Data!$D$2:$D$909)</f>
        <v>6257</v>
      </c>
      <c r="E160" s="5" t="n">
        <f aca="false">SUMPRODUCT((Data!$A$2:$A$909=DATE(2026,7,22))*EXACT(Data!$B$2:$B$909,$A160)*EXACT(Data!$C$2:$C$909,$B160)*Data!$D$2:$D$909)</f>
        <v>4381</v>
      </c>
      <c r="F160" s="5" t="n">
        <f aca="false">SUMPRODUCT((Data!$A$2:$A$909=DATE(2026,7,23))*EXACT(Data!$B$2:$B$909,$A160)*EXACT(Data!$C$2:$C$909,$B160)*Data!$D$2:$D$909)</f>
        <v>4564</v>
      </c>
      <c r="G160" s="5" t="n">
        <f aca="false">SUMPRODUCT((Data!$A$2:$A$909=DATE(2026,7,24))*EXACT(Data!$B$2:$B$909,$A160)*EXACT(Data!$C$2:$C$909,$B160)*Data!$D$2:$D$909)</f>
        <v>3350</v>
      </c>
      <c r="H160" s="5" t="n">
        <f aca="false">SUMPRODUCT((Data!$A$2:$A$909=DATE(2026,7,25))*EXACT(Data!$B$2:$B$909,$A160)*EXACT(Data!$C$2:$C$909,$B160)*Data!$D$2:$D$909)</f>
        <v>2028</v>
      </c>
      <c r="I160" s="5" t="n">
        <f aca="false">SUMPRODUCT((Data!$A$2:$A$909=DATE(2026,7,26))*EXACT(Data!$B$2:$B$909,$A160)*EXACT(Data!$C$2:$C$909,$B160)*Data!$D$2:$D$909)</f>
        <v>1932</v>
      </c>
      <c r="J160" s="6" t="n">
        <f aca="false">SUM(C160:I160)</f>
        <v>28348</v>
      </c>
      <c r="K160" s="7" t="n">
        <f aca="false">IF(C160=0,"",(I160-C160)/C160)</f>
        <v>-0.668951336531871</v>
      </c>
    </row>
    <row r="162" customFormat="false" ht="15" hidden="false" customHeight="false" outlineLevel="0" collapsed="false">
      <c r="A162" s="8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2026-07-30T01:59:23Z</dcterms:created>
  <dc:creator>openpyxl</dc:creator>
  <dc:description/>
  <dc:language>en-US</dc:language>
  <cp:lastModifiedBy/>
  <dcterms:modified xsi:type="dcterms:W3CDTF">2026-07-30T01:59:28Z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